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2a9ddfbd6324d0/Documents/aa Uni Happs/Year 2/Sem1/FIT2179/Assignment 2/FIT2179_A2/"/>
    </mc:Choice>
  </mc:AlternateContent>
  <xr:revisionPtr revIDLastSave="747" documentId="8_{D12863D1-9A84-4D89-8FC8-37A89CDFAD34}" xr6:coauthVersionLast="47" xr6:coauthVersionMax="47" xr10:uidLastSave="{4CC604B9-5C65-4B96-84C4-E7D64E234AC0}"/>
  <bookViews>
    <workbookView xWindow="-120" yWindow="-120" windowWidth="38640" windowHeight="21120" activeTab="1" xr2:uid="{5B0AB535-C7E6-41F3-8FB6-F0DDA392E2E8}"/>
  </bookViews>
  <sheets>
    <sheet name="StatePopulation" sheetId="1" r:id="rId1"/>
    <sheet name="StateGrowthAlllYears" sheetId="24" r:id="rId2"/>
    <sheet name="StateGrowth2015-2025" sheetId="19" r:id="rId3"/>
    <sheet name="StateGrowthChloropleth" sheetId="20" r:id="rId4"/>
    <sheet name="connected_scatterplot" sheetId="21" r:id="rId5"/>
    <sheet name="StateGrowthHeatMap" sheetId="14" r:id="rId6"/>
    <sheet name="NetOverseasMigration" sheetId="3" r:id="rId7"/>
    <sheet name="AustraliaTotalPopulation" sheetId="10" r:id="rId8"/>
    <sheet name="MajorCityPopulation" sheetId="2" r:id="rId9"/>
    <sheet name="MigrationAge" sheetId="4" r:id="rId10"/>
    <sheet name="steamgraph_population_growth" sheetId="22" r:id="rId11"/>
    <sheet name="source_country_migration" sheetId="23" r:id="rId12"/>
    <sheet name="TopSourceCountries" sheetId="11" r:id="rId13"/>
    <sheet name="VisaCategories" sheetId="12" r:id="rId14"/>
    <sheet name="LollipopChart" sheetId="1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9" l="1"/>
  <c r="D4" i="19"/>
  <c r="D5" i="19"/>
  <c r="D6" i="19"/>
  <c r="D7" i="19"/>
  <c r="D8" i="19"/>
  <c r="D9" i="19"/>
  <c r="D2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FCC300-1E4A-46F6-B6DA-60E962EBDD7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D3FAE12-14CC-4585-9E50-6A0D3FAE7856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<sst xmlns="http://schemas.openxmlformats.org/spreadsheetml/2006/main" count="545" uniqueCount="96">
  <si>
    <t>State</t>
  </si>
  <si>
    <t>City</t>
  </si>
  <si>
    <t>Sydney</t>
  </si>
  <si>
    <t>Melbourne</t>
  </si>
  <si>
    <t>Brisbane</t>
  </si>
  <si>
    <t>Perth</t>
  </si>
  <si>
    <t>Adelaide</t>
  </si>
  <si>
    <t>Hobart</t>
  </si>
  <si>
    <t>Canberra</t>
  </si>
  <si>
    <t>Darwin</t>
  </si>
  <si>
    <t>Population</t>
  </si>
  <si>
    <t>Latitude</t>
  </si>
  <si>
    <t>Longitude</t>
  </si>
  <si>
    <t>Year</t>
  </si>
  <si>
    <t>NetMigration</t>
  </si>
  <si>
    <t>100+</t>
  </si>
  <si>
    <t>Count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</si>
  <si>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</si>
  <si>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</si>
  <si>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</si>
  <si>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</si>
  <si>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</si>
  <si>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</si>
  <si>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</si>
  <si>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</si>
  <si>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</si>
  <si>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</si>
  <si>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</si>
  <si>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</si>
  <si>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</si>
  <si>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</si>
  <si>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</si>
  <si>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</si>
  <si>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</si>
  <si>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</si>
  <si>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</si>
  <si>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</si>
  <si>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Total</t>
  </si>
  <si>
    <t>Female</t>
  </si>
  <si>
    <t>Male</t>
  </si>
  <si>
    <t>AgeGroup</t>
  </si>
  <si>
    <t>India</t>
  </si>
  <si>
    <t>Nepal</t>
  </si>
  <si>
    <t>Pakistan</t>
  </si>
  <si>
    <t>Philippines</t>
  </si>
  <si>
    <t>Sri Lanka</t>
  </si>
  <si>
    <t>Ireland</t>
  </si>
  <si>
    <t>Malaysia</t>
  </si>
  <si>
    <t>Iran</t>
  </si>
  <si>
    <t>Vietnam</t>
  </si>
  <si>
    <t>South Africa</t>
  </si>
  <si>
    <t>Brazil</t>
  </si>
  <si>
    <t>Singapore</t>
  </si>
  <si>
    <t>Country</t>
  </si>
  <si>
    <t>Migrants</t>
  </si>
  <si>
    <t>Other3</t>
  </si>
  <si>
    <t>Visa Type</t>
  </si>
  <si>
    <t>Employer Sponsored</t>
  </si>
  <si>
    <t>State/Territory Nominated</t>
  </si>
  <si>
    <t>Regional</t>
  </si>
  <si>
    <t>Skilled Independent</t>
  </si>
  <si>
    <t>Global Talent</t>
  </si>
  <si>
    <t>Business Innovation &amp; Investment</t>
  </si>
  <si>
    <t>Distinguished Talent</t>
  </si>
  <si>
    <t>National Innovation</t>
  </si>
  <si>
    <t>Growth</t>
  </si>
  <si>
    <t>Growth Rate</t>
  </si>
  <si>
    <t>GrowthRate</t>
  </si>
  <si>
    <t>China</t>
  </si>
  <si>
    <t>UK</t>
  </si>
  <si>
    <t>Hong Kong</t>
  </si>
  <si>
    <t>Change</t>
  </si>
  <si>
    <t>ACT</t>
  </si>
  <si>
    <t>NSW</t>
  </si>
  <si>
    <t>NT</t>
  </si>
  <si>
    <t>QLD</t>
  </si>
  <si>
    <t>SA</t>
  </si>
  <si>
    <t>TAS</t>
  </si>
  <si>
    <t>VIC</t>
  </si>
  <si>
    <t>WA</t>
  </si>
  <si>
    <t>Australian Capital Territory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</si>
  <si>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</si>
  <si>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</si>
  <si>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</si>
  <si>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</si>
  <si>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</si>
  <si>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</si>
  <si>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</si>
  <si>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PopulationGrowthRate</t>
  </si>
  <si>
    <t>Total growth</t>
  </si>
  <si>
    <t>Natural increase</t>
  </si>
  <si>
    <t>Net overseas migration</t>
  </si>
  <si>
    <t>New Zealand</t>
  </si>
  <si>
    <t>Bangladesh</t>
  </si>
  <si>
    <t>Indonesia</t>
  </si>
  <si>
    <t>Afghanistan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</si>
</sst>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D423-2B46-40E2-8FBA-A6F57179CAA9}">
  <dimension ref="A1:C89"/>
  <sheetViews>
    <sheetView workbookViewId="0">
      <selection activeCell="D1" sqref="D1:D1048576"/>
    </sheetView>
  </sheetViews>
  <sheetFormatPr defaultRowHeight="15" x14ac:dyDescent="0.25"/>
  <cols>
    <col min="1" max="1" width="25" bestFit="1" customWidth="1"/>
    <col min="3" max="3" width="10.7109375" bestFit="1" customWidth="1"/>
  </cols>
  <sheetData>
    <row r="1" spans="1:3" x14ac:dyDescent="0.25">
      <c r="A1" t="s">
        <v>0</v>
      </c>
      <c r="B1" t="s">
        <v>13</v>
      </c>
      <c r="C1" t="s">
        <v>10</v>
      </c>
    </row>
    <row r="2" spans="1:3" x14ac:dyDescent="0.25">
      <c r="A2" t="s">
        <v>72</v>
      </c>
      <c r="B2">
        <v>2015</v>
      </c>
      <c r="C2">
        <v>394491</v>
      </c>
    </row>
    <row r="3" spans="1:3" x14ac:dyDescent="0.25">
      <c r="A3" t="s">
        <v>72</v>
      </c>
      <c r="B3">
        <v>2016</v>
      </c>
      <c r="C3">
        <v>401673</v>
      </c>
    </row>
    <row r="4" spans="1:3" x14ac:dyDescent="0.25">
      <c r="A4" t="s">
        <v>72</v>
      </c>
      <c r="B4">
        <v>2017</v>
      </c>
      <c r="C4">
        <v>413017</v>
      </c>
    </row>
    <row r="5" spans="1:3" x14ac:dyDescent="0.25">
      <c r="A5" t="s">
        <v>72</v>
      </c>
      <c r="B5">
        <v>2018</v>
      </c>
      <c r="C5">
        <v>423810</v>
      </c>
    </row>
    <row r="6" spans="1:3" x14ac:dyDescent="0.25">
      <c r="A6" t="s">
        <v>72</v>
      </c>
      <c r="B6">
        <v>2019</v>
      </c>
      <c r="C6">
        <v>433801</v>
      </c>
    </row>
    <row r="7" spans="1:3" x14ac:dyDescent="0.25">
      <c r="A7" t="s">
        <v>72</v>
      </c>
      <c r="B7">
        <v>2020</v>
      </c>
      <c r="C7">
        <v>443035</v>
      </c>
    </row>
    <row r="8" spans="1:3" x14ac:dyDescent="0.25">
      <c r="A8" t="s">
        <v>72</v>
      </c>
      <c r="B8">
        <v>2021</v>
      </c>
      <c r="C8">
        <v>449573</v>
      </c>
    </row>
    <row r="9" spans="1:3" x14ac:dyDescent="0.25">
      <c r="A9" t="s">
        <v>72</v>
      </c>
      <c r="B9">
        <v>2022</v>
      </c>
      <c r="C9">
        <v>459556</v>
      </c>
    </row>
    <row r="10" spans="1:3" x14ac:dyDescent="0.25">
      <c r="A10" t="s">
        <v>72</v>
      </c>
      <c r="B10">
        <v>2023</v>
      </c>
      <c r="C10">
        <v>469185</v>
      </c>
    </row>
    <row r="11" spans="1:3" x14ac:dyDescent="0.25">
      <c r="A11" t="s">
        <v>72</v>
      </c>
      <c r="B11">
        <v>2024</v>
      </c>
      <c r="C11">
        <v>477529</v>
      </c>
    </row>
    <row r="12" spans="1:3" x14ac:dyDescent="0.25">
      <c r="A12" t="s">
        <v>72</v>
      </c>
      <c r="B12">
        <v>2025</v>
      </c>
      <c r="C12">
        <v>483324</v>
      </c>
    </row>
    <row r="13" spans="1:3" x14ac:dyDescent="0.25">
      <c r="A13" t="s">
        <v>73</v>
      </c>
      <c r="B13">
        <v>2015</v>
      </c>
      <c r="C13">
        <v>7595731</v>
      </c>
    </row>
    <row r="14" spans="1:3" x14ac:dyDescent="0.25">
      <c r="A14" t="s">
        <v>73</v>
      </c>
      <c r="B14">
        <v>2016</v>
      </c>
      <c r="C14">
        <v>7707412</v>
      </c>
    </row>
    <row r="15" spans="1:3" x14ac:dyDescent="0.25">
      <c r="A15" t="s">
        <v>73</v>
      </c>
      <c r="B15">
        <v>2017</v>
      </c>
      <c r="C15">
        <v>7833463</v>
      </c>
    </row>
    <row r="16" spans="1:3" x14ac:dyDescent="0.25">
      <c r="A16" t="s">
        <v>73</v>
      </c>
      <c r="B16">
        <v>2018</v>
      </c>
      <c r="C16">
        <v>7934688</v>
      </c>
    </row>
    <row r="17" spans="1:3" x14ac:dyDescent="0.25">
      <c r="A17" t="s">
        <v>73</v>
      </c>
      <c r="B17">
        <v>2019</v>
      </c>
      <c r="C17">
        <v>8032991</v>
      </c>
    </row>
    <row r="18" spans="1:3" x14ac:dyDescent="0.25">
      <c r="A18" t="s">
        <v>73</v>
      </c>
      <c r="B18">
        <v>2020</v>
      </c>
      <c r="C18">
        <v>8112001</v>
      </c>
    </row>
    <row r="19" spans="1:3" x14ac:dyDescent="0.25">
      <c r="A19" t="s">
        <v>73</v>
      </c>
      <c r="B19">
        <v>2021</v>
      </c>
      <c r="C19">
        <v>8093015</v>
      </c>
    </row>
    <row r="20" spans="1:3" x14ac:dyDescent="0.25">
      <c r="A20" t="s">
        <v>73</v>
      </c>
      <c r="B20">
        <v>2022</v>
      </c>
      <c r="C20">
        <v>8153203</v>
      </c>
    </row>
    <row r="21" spans="1:3" x14ac:dyDescent="0.25">
      <c r="A21" t="s">
        <v>73</v>
      </c>
      <c r="B21">
        <v>2023</v>
      </c>
      <c r="C21">
        <v>8317329</v>
      </c>
    </row>
    <row r="22" spans="1:3" x14ac:dyDescent="0.25">
      <c r="A22" t="s">
        <v>73</v>
      </c>
      <c r="B22">
        <v>2024</v>
      </c>
      <c r="C22">
        <v>8477401</v>
      </c>
    </row>
    <row r="23" spans="1:3" x14ac:dyDescent="0.25">
      <c r="A23" t="s">
        <v>73</v>
      </c>
      <c r="B23">
        <v>2025</v>
      </c>
      <c r="C23">
        <v>8574064</v>
      </c>
    </row>
    <row r="24" spans="1:3" x14ac:dyDescent="0.25">
      <c r="A24" t="s">
        <v>74</v>
      </c>
      <c r="B24">
        <v>2015</v>
      </c>
      <c r="C24">
        <v>243059</v>
      </c>
    </row>
    <row r="25" spans="1:3" x14ac:dyDescent="0.25">
      <c r="A25" t="s">
        <v>74</v>
      </c>
      <c r="B25">
        <v>2016</v>
      </c>
      <c r="C25">
        <v>244627</v>
      </c>
    </row>
    <row r="26" spans="1:3" x14ac:dyDescent="0.25">
      <c r="A26" t="s">
        <v>74</v>
      </c>
      <c r="B26">
        <v>2017</v>
      </c>
      <c r="C26">
        <v>246231</v>
      </c>
    </row>
    <row r="27" spans="1:3" x14ac:dyDescent="0.25">
      <c r="A27" t="s">
        <v>74</v>
      </c>
      <c r="B27">
        <v>2018</v>
      </c>
      <c r="C27">
        <v>246674</v>
      </c>
    </row>
    <row r="28" spans="1:3" x14ac:dyDescent="0.25">
      <c r="A28" t="s">
        <v>74</v>
      </c>
      <c r="B28">
        <v>2019</v>
      </c>
      <c r="C28">
        <v>246016</v>
      </c>
    </row>
    <row r="29" spans="1:3" x14ac:dyDescent="0.25">
      <c r="A29" t="s">
        <v>74</v>
      </c>
      <c r="B29">
        <v>2020</v>
      </c>
      <c r="C29">
        <v>246969</v>
      </c>
    </row>
    <row r="30" spans="1:3" x14ac:dyDescent="0.25">
      <c r="A30" t="s">
        <v>74</v>
      </c>
      <c r="B30">
        <v>2021</v>
      </c>
      <c r="C30">
        <v>248185</v>
      </c>
    </row>
    <row r="31" spans="1:3" x14ac:dyDescent="0.25">
      <c r="A31" t="s">
        <v>74</v>
      </c>
      <c r="B31">
        <v>2022</v>
      </c>
      <c r="C31">
        <v>252107</v>
      </c>
    </row>
    <row r="32" spans="1:3" x14ac:dyDescent="0.25">
      <c r="A32" t="s">
        <v>74</v>
      </c>
      <c r="B32">
        <v>2023</v>
      </c>
      <c r="C32">
        <v>256466</v>
      </c>
    </row>
    <row r="33" spans="1:3" x14ac:dyDescent="0.25">
      <c r="A33" t="s">
        <v>74</v>
      </c>
      <c r="B33">
        <v>2024</v>
      </c>
      <c r="C33">
        <v>259967</v>
      </c>
    </row>
    <row r="34" spans="1:3" x14ac:dyDescent="0.25">
      <c r="A34" t="s">
        <v>74</v>
      </c>
      <c r="B34">
        <v>2025</v>
      </c>
      <c r="C34">
        <v>263862</v>
      </c>
    </row>
    <row r="35" spans="1:3" x14ac:dyDescent="0.25">
      <c r="A35" t="s">
        <v>75</v>
      </c>
      <c r="B35">
        <v>2015</v>
      </c>
      <c r="C35">
        <v>4764439</v>
      </c>
    </row>
    <row r="36" spans="1:3" x14ac:dyDescent="0.25">
      <c r="A36" t="s">
        <v>75</v>
      </c>
      <c r="B36">
        <v>2016</v>
      </c>
      <c r="C36">
        <v>4826538</v>
      </c>
    </row>
    <row r="37" spans="1:3" x14ac:dyDescent="0.25">
      <c r="A37" t="s">
        <v>75</v>
      </c>
      <c r="B37">
        <v>2017</v>
      </c>
      <c r="C37">
        <v>4906370</v>
      </c>
    </row>
    <row r="38" spans="1:3" x14ac:dyDescent="0.25">
      <c r="A38" t="s">
        <v>75</v>
      </c>
      <c r="B38">
        <v>2018</v>
      </c>
      <c r="C38">
        <v>4985955</v>
      </c>
    </row>
    <row r="39" spans="1:3" x14ac:dyDescent="0.25">
      <c r="A39" t="s">
        <v>75</v>
      </c>
      <c r="B39">
        <v>2019</v>
      </c>
      <c r="C39">
        <v>5070306</v>
      </c>
    </row>
    <row r="40" spans="1:3" x14ac:dyDescent="0.25">
      <c r="A40" t="s">
        <v>75</v>
      </c>
      <c r="B40">
        <v>2020</v>
      </c>
      <c r="C40">
        <v>5154305</v>
      </c>
    </row>
    <row r="41" spans="1:3" x14ac:dyDescent="0.25">
      <c r="A41" t="s">
        <v>75</v>
      </c>
      <c r="B41">
        <v>2021</v>
      </c>
      <c r="C41">
        <v>5199548</v>
      </c>
    </row>
    <row r="42" spans="1:3" x14ac:dyDescent="0.25">
      <c r="A42" t="s">
        <v>75</v>
      </c>
      <c r="B42">
        <v>2022</v>
      </c>
      <c r="C42">
        <v>5283479</v>
      </c>
    </row>
    <row r="43" spans="1:3" x14ac:dyDescent="0.25">
      <c r="A43" t="s">
        <v>75</v>
      </c>
      <c r="B43">
        <v>2023</v>
      </c>
      <c r="C43">
        <v>5415786</v>
      </c>
    </row>
    <row r="44" spans="1:3" x14ac:dyDescent="0.25">
      <c r="A44" t="s">
        <v>75</v>
      </c>
      <c r="B44">
        <v>2024</v>
      </c>
      <c r="C44">
        <v>5548832</v>
      </c>
    </row>
    <row r="45" spans="1:3" x14ac:dyDescent="0.25">
      <c r="A45" t="s">
        <v>75</v>
      </c>
      <c r="B45">
        <v>2025</v>
      </c>
      <c r="C45">
        <v>5648264</v>
      </c>
    </row>
    <row r="46" spans="1:3" x14ac:dyDescent="0.25">
      <c r="A46" t="s">
        <v>76</v>
      </c>
      <c r="B46">
        <v>2015</v>
      </c>
      <c r="C46">
        <v>1698433</v>
      </c>
    </row>
    <row r="47" spans="1:3" x14ac:dyDescent="0.25">
      <c r="A47" t="s">
        <v>76</v>
      </c>
      <c r="B47">
        <v>2016</v>
      </c>
      <c r="C47">
        <v>1710334</v>
      </c>
    </row>
    <row r="48" spans="1:3" x14ac:dyDescent="0.25">
      <c r="A48" t="s">
        <v>76</v>
      </c>
      <c r="B48">
        <v>2017</v>
      </c>
      <c r="C48">
        <v>1725253</v>
      </c>
    </row>
    <row r="49" spans="1:3" x14ac:dyDescent="0.25">
      <c r="A49" t="s">
        <v>76</v>
      </c>
      <c r="B49">
        <v>2018</v>
      </c>
      <c r="C49">
        <v>1742255</v>
      </c>
    </row>
    <row r="50" spans="1:3" x14ac:dyDescent="0.25">
      <c r="A50" t="s">
        <v>76</v>
      </c>
      <c r="B50">
        <v>2019</v>
      </c>
      <c r="C50">
        <v>1762889</v>
      </c>
    </row>
    <row r="51" spans="1:3" x14ac:dyDescent="0.25">
      <c r="A51" t="s">
        <v>76</v>
      </c>
      <c r="B51">
        <v>2020</v>
      </c>
      <c r="C51">
        <v>1787847</v>
      </c>
    </row>
    <row r="52" spans="1:3" x14ac:dyDescent="0.25">
      <c r="A52" t="s">
        <v>76</v>
      </c>
      <c r="B52">
        <v>2021</v>
      </c>
      <c r="C52">
        <v>1798586</v>
      </c>
    </row>
    <row r="53" spans="1:3" x14ac:dyDescent="0.25">
      <c r="A53" t="s">
        <v>76</v>
      </c>
      <c r="B53">
        <v>2022</v>
      </c>
      <c r="C53">
        <v>1818356</v>
      </c>
    </row>
    <row r="54" spans="1:3" x14ac:dyDescent="0.25">
      <c r="A54" t="s">
        <v>76</v>
      </c>
      <c r="B54">
        <v>2023</v>
      </c>
      <c r="C54">
        <v>1851014</v>
      </c>
    </row>
    <row r="55" spans="1:3" x14ac:dyDescent="0.25">
      <c r="A55" t="s">
        <v>76</v>
      </c>
      <c r="B55">
        <v>2024</v>
      </c>
      <c r="C55">
        <v>1878655</v>
      </c>
    </row>
    <row r="56" spans="1:3" x14ac:dyDescent="0.25">
      <c r="A56" t="s">
        <v>76</v>
      </c>
      <c r="B56">
        <v>2025</v>
      </c>
      <c r="C56">
        <v>1898981</v>
      </c>
    </row>
    <row r="57" spans="1:3" x14ac:dyDescent="0.25">
      <c r="A57" t="s">
        <v>77</v>
      </c>
      <c r="B57">
        <v>2015</v>
      </c>
      <c r="C57">
        <v>514812</v>
      </c>
    </row>
    <row r="58" spans="1:3" x14ac:dyDescent="0.25">
      <c r="A58" t="s">
        <v>77</v>
      </c>
      <c r="B58">
        <v>2016</v>
      </c>
      <c r="C58">
        <v>516861</v>
      </c>
    </row>
    <row r="59" spans="1:3" x14ac:dyDescent="0.25">
      <c r="A59" t="s">
        <v>77</v>
      </c>
      <c r="B59">
        <v>2017</v>
      </c>
      <c r="C59">
        <v>524574</v>
      </c>
    </row>
    <row r="60" spans="1:3" x14ac:dyDescent="0.25">
      <c r="A60" t="s">
        <v>77</v>
      </c>
      <c r="B60">
        <v>2018</v>
      </c>
      <c r="C60">
        <v>534754</v>
      </c>
    </row>
    <row r="61" spans="1:3" x14ac:dyDescent="0.25">
      <c r="A61" t="s">
        <v>77</v>
      </c>
      <c r="B61">
        <v>2019</v>
      </c>
      <c r="C61">
        <v>545803</v>
      </c>
    </row>
    <row r="62" spans="1:3" x14ac:dyDescent="0.25">
      <c r="A62" t="s">
        <v>77</v>
      </c>
      <c r="B62">
        <v>2020</v>
      </c>
      <c r="C62">
        <v>555975</v>
      </c>
    </row>
    <row r="63" spans="1:3" x14ac:dyDescent="0.25">
      <c r="A63" t="s">
        <v>77</v>
      </c>
      <c r="B63">
        <v>2021</v>
      </c>
      <c r="C63">
        <v>564840</v>
      </c>
    </row>
    <row r="64" spans="1:3" x14ac:dyDescent="0.25">
      <c r="A64" t="s">
        <v>77</v>
      </c>
      <c r="B64">
        <v>2022</v>
      </c>
      <c r="C64">
        <v>571384</v>
      </c>
    </row>
    <row r="65" spans="1:3" x14ac:dyDescent="0.25">
      <c r="A65" t="s">
        <v>77</v>
      </c>
      <c r="B65">
        <v>2023</v>
      </c>
      <c r="C65">
        <v>573836</v>
      </c>
    </row>
    <row r="66" spans="1:3" x14ac:dyDescent="0.25">
      <c r="A66" t="s">
        <v>77</v>
      </c>
      <c r="B66">
        <v>2024</v>
      </c>
      <c r="C66">
        <v>574965</v>
      </c>
    </row>
    <row r="67" spans="1:3" x14ac:dyDescent="0.25">
      <c r="A67" t="s">
        <v>77</v>
      </c>
      <c r="B67">
        <v>2025</v>
      </c>
      <c r="C67">
        <v>576067</v>
      </c>
    </row>
    <row r="68" spans="1:3" x14ac:dyDescent="0.25">
      <c r="A68" t="s">
        <v>78</v>
      </c>
      <c r="B68">
        <v>2015</v>
      </c>
      <c r="C68">
        <v>5995205</v>
      </c>
    </row>
    <row r="69" spans="1:3" x14ac:dyDescent="0.25">
      <c r="A69" t="s">
        <v>78</v>
      </c>
      <c r="B69">
        <v>2016</v>
      </c>
      <c r="C69">
        <v>6138627</v>
      </c>
    </row>
    <row r="70" spans="1:3" x14ac:dyDescent="0.25">
      <c r="A70" t="s">
        <v>78</v>
      </c>
      <c r="B70">
        <v>2017</v>
      </c>
      <c r="C70">
        <v>6278555</v>
      </c>
    </row>
    <row r="71" spans="1:3" x14ac:dyDescent="0.25">
      <c r="A71" t="s">
        <v>78</v>
      </c>
      <c r="B71">
        <v>2018</v>
      </c>
      <c r="C71">
        <v>6398586</v>
      </c>
    </row>
    <row r="72" spans="1:3" x14ac:dyDescent="0.25">
      <c r="A72" t="s">
        <v>78</v>
      </c>
      <c r="B72">
        <v>2019</v>
      </c>
      <c r="C72">
        <v>6518716</v>
      </c>
    </row>
    <row r="73" spans="1:3" x14ac:dyDescent="0.25">
      <c r="A73" t="s">
        <v>78</v>
      </c>
      <c r="B73">
        <v>2020</v>
      </c>
      <c r="C73">
        <v>6616636</v>
      </c>
    </row>
    <row r="74" spans="1:3" x14ac:dyDescent="0.25">
      <c r="A74" t="s">
        <v>78</v>
      </c>
      <c r="B74">
        <v>2021</v>
      </c>
      <c r="C74">
        <v>6555302</v>
      </c>
    </row>
    <row r="75" spans="1:3" x14ac:dyDescent="0.25">
      <c r="A75" t="s">
        <v>78</v>
      </c>
      <c r="B75">
        <v>2022</v>
      </c>
      <c r="C75">
        <v>6591580</v>
      </c>
    </row>
    <row r="76" spans="1:3" x14ac:dyDescent="0.25">
      <c r="A76" t="s">
        <v>78</v>
      </c>
      <c r="B76">
        <v>2023</v>
      </c>
      <c r="C76">
        <v>6757251</v>
      </c>
    </row>
    <row r="77" spans="1:3" x14ac:dyDescent="0.25">
      <c r="A77" t="s">
        <v>78</v>
      </c>
      <c r="B77">
        <v>2024</v>
      </c>
      <c r="C77">
        <v>6928534</v>
      </c>
    </row>
    <row r="78" spans="1:3" x14ac:dyDescent="0.25">
      <c r="A78" t="s">
        <v>78</v>
      </c>
      <c r="B78">
        <v>2025</v>
      </c>
      <c r="C78">
        <v>7050570</v>
      </c>
    </row>
    <row r="79" spans="1:3" x14ac:dyDescent="0.25">
      <c r="A79" t="s">
        <v>79</v>
      </c>
      <c r="B79">
        <v>2015</v>
      </c>
      <c r="C79">
        <v>2536604</v>
      </c>
    </row>
    <row r="80" spans="1:3" x14ac:dyDescent="0.25">
      <c r="A80" t="s">
        <v>79</v>
      </c>
      <c r="B80">
        <v>2016</v>
      </c>
      <c r="C80">
        <v>2554506</v>
      </c>
    </row>
    <row r="81" spans="1:3" x14ac:dyDescent="0.25">
      <c r="A81" t="s">
        <v>79</v>
      </c>
      <c r="B81">
        <v>2017</v>
      </c>
      <c r="C81">
        <v>2579276</v>
      </c>
    </row>
    <row r="82" spans="1:3" x14ac:dyDescent="0.25">
      <c r="A82" t="s">
        <v>79</v>
      </c>
      <c r="B82">
        <v>2018</v>
      </c>
      <c r="C82">
        <v>2610320</v>
      </c>
    </row>
    <row r="83" spans="1:3" x14ac:dyDescent="0.25">
      <c r="A83" t="s">
        <v>79</v>
      </c>
      <c r="B83">
        <v>2019</v>
      </c>
      <c r="C83">
        <v>2649641</v>
      </c>
    </row>
    <row r="84" spans="1:3" x14ac:dyDescent="0.25">
      <c r="A84" t="s">
        <v>79</v>
      </c>
      <c r="B84">
        <v>2020</v>
      </c>
      <c r="C84">
        <v>2706350</v>
      </c>
    </row>
    <row r="85" spans="1:3" x14ac:dyDescent="0.25">
      <c r="A85" t="s">
        <v>79</v>
      </c>
      <c r="B85">
        <v>2021</v>
      </c>
      <c r="C85">
        <v>2739105</v>
      </c>
    </row>
    <row r="86" spans="1:3" x14ac:dyDescent="0.25">
      <c r="A86" t="s">
        <v>79</v>
      </c>
      <c r="B86">
        <v>2022</v>
      </c>
      <c r="C86">
        <v>2778421</v>
      </c>
    </row>
    <row r="87" spans="1:3" x14ac:dyDescent="0.25">
      <c r="A87" t="s">
        <v>79</v>
      </c>
      <c r="B87">
        <v>2023</v>
      </c>
      <c r="C87">
        <v>2868478</v>
      </c>
    </row>
    <row r="88" spans="1:3" x14ac:dyDescent="0.25">
      <c r="A88" t="s">
        <v>79</v>
      </c>
      <c r="B88">
        <v>2024</v>
      </c>
      <c r="C88">
        <v>2962651</v>
      </c>
    </row>
    <row r="89" spans="1:3" x14ac:dyDescent="0.25">
      <c r="A89" t="s">
        <v>79</v>
      </c>
      <c r="B89">
        <v>2025</v>
      </c>
      <c r="C89">
        <v>3031308</v>
      </c>
    </row>
  </sheetData>
  <sortState xmlns:xlrd2="http://schemas.microsoft.com/office/spreadsheetml/2017/richdata2" ref="A2:C89">
    <sortCondition ref="A2:A8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8049-B700-459F-AF84-04E03F39D50B}">
  <dimension ref="A1:D81"/>
  <sheetViews>
    <sheetView tabSelected="1" topLeftCell="A43" workbookViewId="0">
      <selection activeCell="E85" sqref="E85"/>
    </sheetView>
  </sheetViews>
  <sheetFormatPr defaultRowHeight="15" x14ac:dyDescent="0.25"/>
  <sheetData>
    <row r="1" spans="1:4" x14ac:dyDescent="0.25">
      <c r="A1" t="s">
        <v>0</v>
      </c>
      <c r="B1" t="s">
        <v>13</v>
      </c>
      <c r="C1" t="s">
        <v>10</v>
      </c>
      <c r="D1" t="s">
        <v>65</v>
      </c>
    </row>
    <row r="2" spans="1:4" x14ac:dyDescent="0.25">
      <c r="A2" t="s">
        <v>72</v>
      </c>
      <c r="B2">
        <v>2016</v>
      </c>
      <c r="C2">
        <v>401673</v>
      </c>
      <c r="D2">
        <v>1.8205738533958949E-2</v>
      </c>
    </row>
    <row r="3" spans="1:4" x14ac:dyDescent="0.25">
      <c r="A3" t="s">
        <v>72</v>
      </c>
      <c r="B3">
        <v>2017</v>
      </c>
      <c r="C3">
        <v>413017</v>
      </c>
      <c r="D3">
        <v>2.8241878343826944E-2</v>
      </c>
    </row>
    <row r="4" spans="1:4" x14ac:dyDescent="0.25">
      <c r="A4" t="s">
        <v>72</v>
      </c>
      <c r="B4">
        <v>2018</v>
      </c>
      <c r="C4">
        <v>423810</v>
      </c>
      <c r="D4">
        <v>2.6132096257539036E-2</v>
      </c>
    </row>
    <row r="5" spans="1:4" x14ac:dyDescent="0.25">
      <c r="A5" t="s">
        <v>72</v>
      </c>
      <c r="B5">
        <v>2019</v>
      </c>
      <c r="C5">
        <v>433801</v>
      </c>
      <c r="D5">
        <v>2.357424317500767E-2</v>
      </c>
    </row>
    <row r="6" spans="1:4" x14ac:dyDescent="0.25">
      <c r="A6" t="s">
        <v>72</v>
      </c>
      <c r="B6">
        <v>2020</v>
      </c>
      <c r="C6">
        <v>443035</v>
      </c>
      <c r="D6">
        <v>2.128625798465195E-2</v>
      </c>
    </row>
    <row r="7" spans="1:4" x14ac:dyDescent="0.25">
      <c r="A7" t="s">
        <v>72</v>
      </c>
      <c r="B7">
        <v>2021</v>
      </c>
      <c r="C7">
        <v>449573</v>
      </c>
      <c r="D7">
        <v>1.4757299084722427E-2</v>
      </c>
    </row>
    <row r="8" spans="1:4" x14ac:dyDescent="0.25">
      <c r="A8" t="s">
        <v>72</v>
      </c>
      <c r="B8">
        <v>2022</v>
      </c>
      <c r="C8">
        <v>459556</v>
      </c>
      <c r="D8">
        <v>2.2205515010910351E-2</v>
      </c>
    </row>
    <row r="9" spans="1:4" x14ac:dyDescent="0.25">
      <c r="A9" t="s">
        <v>72</v>
      </c>
      <c r="B9">
        <v>2023</v>
      </c>
      <c r="C9">
        <v>469185</v>
      </c>
      <c r="D9">
        <v>2.095283273420432E-2</v>
      </c>
    </row>
    <row r="10" spans="1:4" x14ac:dyDescent="0.25">
      <c r="A10" t="s">
        <v>72</v>
      </c>
      <c r="B10">
        <v>2024</v>
      </c>
      <c r="C10">
        <v>477529</v>
      </c>
      <c r="D10">
        <v>1.778402975372188E-2</v>
      </c>
    </row>
    <row r="11" spans="1:4" x14ac:dyDescent="0.25">
      <c r="A11" t="s">
        <v>72</v>
      </c>
      <c r="B11">
        <v>2025</v>
      </c>
      <c r="C11">
        <v>483324</v>
      </c>
      <c r="D11">
        <v>1.2135388636082834E-2</v>
      </c>
    </row>
    <row r="12" spans="1:4" x14ac:dyDescent="0.25">
      <c r="A12" t="s">
        <v>73</v>
      </c>
      <c r="B12">
        <v>2016</v>
      </c>
      <c r="C12">
        <v>7707412</v>
      </c>
      <c r="D12">
        <v>1.4703127322439407E-2</v>
      </c>
    </row>
    <row r="13" spans="1:4" x14ac:dyDescent="0.25">
      <c r="A13" t="s">
        <v>73</v>
      </c>
      <c r="B13">
        <v>2017</v>
      </c>
      <c r="C13">
        <v>7833463</v>
      </c>
      <c r="D13">
        <v>1.6354516924747244E-2</v>
      </c>
    </row>
    <row r="14" spans="1:4" x14ac:dyDescent="0.25">
      <c r="A14" t="s">
        <v>73</v>
      </c>
      <c r="B14">
        <v>2018</v>
      </c>
      <c r="C14">
        <v>7934688</v>
      </c>
      <c r="D14">
        <v>1.2922126523097129E-2</v>
      </c>
    </row>
    <row r="15" spans="1:4" x14ac:dyDescent="0.25">
      <c r="A15" t="s">
        <v>73</v>
      </c>
      <c r="B15">
        <v>2019</v>
      </c>
      <c r="C15">
        <v>8032991</v>
      </c>
      <c r="D15">
        <v>1.2389018950713626E-2</v>
      </c>
    </row>
    <row r="16" spans="1:4" x14ac:dyDescent="0.25">
      <c r="A16" t="s">
        <v>73</v>
      </c>
      <c r="B16">
        <v>2020</v>
      </c>
      <c r="C16">
        <v>8112001</v>
      </c>
      <c r="D16">
        <v>9.8356888486492763E-3</v>
      </c>
    </row>
    <row r="17" spans="1:4" x14ac:dyDescent="0.25">
      <c r="A17" t="s">
        <v>73</v>
      </c>
      <c r="B17">
        <v>2021</v>
      </c>
      <c r="C17">
        <v>8093015</v>
      </c>
      <c r="D17">
        <v>-2.3404829461929305E-3</v>
      </c>
    </row>
    <row r="18" spans="1:4" x14ac:dyDescent="0.25">
      <c r="A18" t="s">
        <v>73</v>
      </c>
      <c r="B18">
        <v>2022</v>
      </c>
      <c r="C18">
        <v>8153203</v>
      </c>
      <c r="D18">
        <v>7.437030575131765E-3</v>
      </c>
    </row>
    <row r="19" spans="1:4" x14ac:dyDescent="0.25">
      <c r="A19" t="s">
        <v>73</v>
      </c>
      <c r="B19">
        <v>2023</v>
      </c>
      <c r="C19">
        <v>8317329</v>
      </c>
      <c r="D19">
        <v>2.0130248198162122E-2</v>
      </c>
    </row>
    <row r="20" spans="1:4" x14ac:dyDescent="0.25">
      <c r="A20" t="s">
        <v>73</v>
      </c>
      <c r="B20">
        <v>2024</v>
      </c>
      <c r="C20">
        <v>8477401</v>
      </c>
      <c r="D20">
        <v>1.9245601562713221E-2</v>
      </c>
    </row>
    <row r="21" spans="1:4" x14ac:dyDescent="0.25">
      <c r="A21" t="s">
        <v>73</v>
      </c>
      <c r="B21">
        <v>2025</v>
      </c>
      <c r="C21">
        <v>8574064</v>
      </c>
      <c r="D21">
        <v>1.1402433363716073E-2</v>
      </c>
    </row>
    <row r="22" spans="1:4" x14ac:dyDescent="0.25">
      <c r="A22" t="s">
        <v>74</v>
      </c>
      <c r="B22">
        <v>2016</v>
      </c>
      <c r="C22">
        <v>244627</v>
      </c>
      <c r="D22">
        <v>6.4511085785755725E-3</v>
      </c>
    </row>
    <row r="23" spans="1:4" x14ac:dyDescent="0.25">
      <c r="A23" t="s">
        <v>74</v>
      </c>
      <c r="B23">
        <v>2017</v>
      </c>
      <c r="C23">
        <v>246231</v>
      </c>
      <c r="D23">
        <v>6.5569213537344613E-3</v>
      </c>
    </row>
    <row r="24" spans="1:4" x14ac:dyDescent="0.25">
      <c r="A24" t="s">
        <v>74</v>
      </c>
      <c r="B24">
        <v>2018</v>
      </c>
      <c r="C24">
        <v>246674</v>
      </c>
      <c r="D24">
        <v>1.7991235872006368E-3</v>
      </c>
    </row>
    <row r="25" spans="1:4" x14ac:dyDescent="0.25">
      <c r="A25" t="s">
        <v>74</v>
      </c>
      <c r="B25">
        <v>2019</v>
      </c>
      <c r="C25">
        <v>246016</v>
      </c>
      <c r="D25">
        <v>-2.6674882638624258E-3</v>
      </c>
    </row>
    <row r="26" spans="1:4" x14ac:dyDescent="0.25">
      <c r="A26" t="s">
        <v>74</v>
      </c>
      <c r="B26">
        <v>2020</v>
      </c>
      <c r="C26">
        <v>246969</v>
      </c>
      <c r="D26">
        <v>3.8737317898022892E-3</v>
      </c>
    </row>
    <row r="27" spans="1:4" x14ac:dyDescent="0.25">
      <c r="A27" t="s">
        <v>74</v>
      </c>
      <c r="B27">
        <v>2021</v>
      </c>
      <c r="C27">
        <v>248185</v>
      </c>
      <c r="D27">
        <v>4.9236948766849279E-3</v>
      </c>
    </row>
    <row r="28" spans="1:4" x14ac:dyDescent="0.25">
      <c r="A28" t="s">
        <v>74</v>
      </c>
      <c r="B28">
        <v>2022</v>
      </c>
      <c r="C28">
        <v>252107</v>
      </c>
      <c r="D28">
        <v>1.5802727803855995E-2</v>
      </c>
    </row>
    <row r="29" spans="1:4" x14ac:dyDescent="0.25">
      <c r="A29" t="s">
        <v>74</v>
      </c>
      <c r="B29">
        <v>2023</v>
      </c>
      <c r="C29">
        <v>256466</v>
      </c>
      <c r="D29">
        <v>1.7290277540885416E-2</v>
      </c>
    </row>
    <row r="30" spans="1:4" x14ac:dyDescent="0.25">
      <c r="A30" t="s">
        <v>74</v>
      </c>
      <c r="B30">
        <v>2024</v>
      </c>
      <c r="C30">
        <v>259967</v>
      </c>
      <c r="D30">
        <v>1.3650932287320736E-2</v>
      </c>
    </row>
    <row r="31" spans="1:4" x14ac:dyDescent="0.25">
      <c r="A31" t="s">
        <v>74</v>
      </c>
      <c r="B31">
        <v>2025</v>
      </c>
      <c r="C31">
        <v>263862</v>
      </c>
      <c r="D31">
        <v>1.4982670877457523E-2</v>
      </c>
    </row>
    <row r="32" spans="1:4" x14ac:dyDescent="0.25">
      <c r="A32" t="s">
        <v>75</v>
      </c>
      <c r="B32">
        <v>2016</v>
      </c>
      <c r="C32">
        <v>4826538</v>
      </c>
      <c r="D32">
        <v>1.3033853513498651E-2</v>
      </c>
    </row>
    <row r="33" spans="1:4" x14ac:dyDescent="0.25">
      <c r="A33" t="s">
        <v>75</v>
      </c>
      <c r="B33">
        <v>2017</v>
      </c>
      <c r="C33">
        <v>4906370</v>
      </c>
      <c r="D33">
        <v>1.6540219925752164E-2</v>
      </c>
    </row>
    <row r="34" spans="1:4" x14ac:dyDescent="0.25">
      <c r="A34" t="s">
        <v>75</v>
      </c>
      <c r="B34">
        <v>2018</v>
      </c>
      <c r="C34">
        <v>4985955</v>
      </c>
      <c r="D34">
        <v>1.622074976000587E-2</v>
      </c>
    </row>
    <row r="35" spans="1:4" x14ac:dyDescent="0.25">
      <c r="A35" t="s">
        <v>75</v>
      </c>
      <c r="B35">
        <v>2019</v>
      </c>
      <c r="C35">
        <v>5070306</v>
      </c>
      <c r="D35">
        <v>1.6917721880763063E-2</v>
      </c>
    </row>
    <row r="36" spans="1:4" x14ac:dyDescent="0.25">
      <c r="A36" t="s">
        <v>75</v>
      </c>
      <c r="B36">
        <v>2020</v>
      </c>
      <c r="C36">
        <v>5154305</v>
      </c>
      <c r="D36">
        <v>1.6566850205885008E-2</v>
      </c>
    </row>
    <row r="37" spans="1:4" x14ac:dyDescent="0.25">
      <c r="A37" t="s">
        <v>75</v>
      </c>
      <c r="B37">
        <v>2021</v>
      </c>
      <c r="C37">
        <v>5199548</v>
      </c>
      <c r="D37">
        <v>8.7777110590079553E-3</v>
      </c>
    </row>
    <row r="38" spans="1:4" x14ac:dyDescent="0.25">
      <c r="A38" t="s">
        <v>75</v>
      </c>
      <c r="B38">
        <v>2022</v>
      </c>
      <c r="C38">
        <v>5283479</v>
      </c>
      <c r="D38">
        <v>1.614198003364908E-2</v>
      </c>
    </row>
    <row r="39" spans="1:4" x14ac:dyDescent="0.25">
      <c r="A39" t="s">
        <v>75</v>
      </c>
      <c r="B39">
        <v>2023</v>
      </c>
      <c r="C39">
        <v>5415786</v>
      </c>
      <c r="D39">
        <v>2.5041643962245331E-2</v>
      </c>
    </row>
    <row r="40" spans="1:4" x14ac:dyDescent="0.25">
      <c r="A40" t="s">
        <v>75</v>
      </c>
      <c r="B40">
        <v>2024</v>
      </c>
      <c r="C40">
        <v>5548832</v>
      </c>
      <c r="D40">
        <v>2.4566332569270648E-2</v>
      </c>
    </row>
    <row r="41" spans="1:4" x14ac:dyDescent="0.25">
      <c r="A41" t="s">
        <v>75</v>
      </c>
      <c r="B41">
        <v>2025</v>
      </c>
      <c r="C41">
        <v>5648264</v>
      </c>
      <c r="D41">
        <v>1.7919446831333154E-2</v>
      </c>
    </row>
    <row r="42" spans="1:4" x14ac:dyDescent="0.25">
      <c r="A42" t="s">
        <v>76</v>
      </c>
      <c r="B42">
        <v>2016</v>
      </c>
      <c r="C42">
        <v>1710334</v>
      </c>
      <c r="D42">
        <v>7.0070470839885945E-3</v>
      </c>
    </row>
    <row r="43" spans="1:4" x14ac:dyDescent="0.25">
      <c r="A43" t="s">
        <v>76</v>
      </c>
      <c r="B43">
        <v>2017</v>
      </c>
      <c r="C43">
        <v>1725253</v>
      </c>
      <c r="D43">
        <v>8.722857640671355E-3</v>
      </c>
    </row>
    <row r="44" spans="1:4" x14ac:dyDescent="0.25">
      <c r="A44" t="s">
        <v>76</v>
      </c>
      <c r="B44">
        <v>2018</v>
      </c>
      <c r="C44">
        <v>1742255</v>
      </c>
      <c r="D44">
        <v>9.8547865153690503E-3</v>
      </c>
    </row>
    <row r="45" spans="1:4" x14ac:dyDescent="0.25">
      <c r="A45" t="s">
        <v>76</v>
      </c>
      <c r="B45">
        <v>2019</v>
      </c>
      <c r="C45">
        <v>1762889</v>
      </c>
      <c r="D45">
        <v>1.184327208129694E-2</v>
      </c>
    </row>
    <row r="46" spans="1:4" x14ac:dyDescent="0.25">
      <c r="A46" t="s">
        <v>76</v>
      </c>
      <c r="B46">
        <v>2020</v>
      </c>
      <c r="C46">
        <v>1787847</v>
      </c>
      <c r="D46">
        <v>1.4157442697753517E-2</v>
      </c>
    </row>
    <row r="47" spans="1:4" x14ac:dyDescent="0.25">
      <c r="A47" t="s">
        <v>76</v>
      </c>
      <c r="B47">
        <v>2021</v>
      </c>
      <c r="C47">
        <v>1798586</v>
      </c>
      <c r="D47">
        <v>6.0066661185213272E-3</v>
      </c>
    </row>
    <row r="48" spans="1:4" x14ac:dyDescent="0.25">
      <c r="A48" t="s">
        <v>76</v>
      </c>
      <c r="B48">
        <v>2022</v>
      </c>
      <c r="C48">
        <v>1818356</v>
      </c>
      <c r="D48">
        <v>1.0991968134968248E-2</v>
      </c>
    </row>
    <row r="49" spans="1:4" x14ac:dyDescent="0.25">
      <c r="A49" t="s">
        <v>76</v>
      </c>
      <c r="B49">
        <v>2023</v>
      </c>
      <c r="C49">
        <v>1851014</v>
      </c>
      <c r="D49">
        <v>1.7960179414812059E-2</v>
      </c>
    </row>
    <row r="50" spans="1:4" x14ac:dyDescent="0.25">
      <c r="A50" t="s">
        <v>76</v>
      </c>
      <c r="B50">
        <v>2024</v>
      </c>
      <c r="C50">
        <v>1878655</v>
      </c>
      <c r="D50">
        <v>1.4932896239574634E-2</v>
      </c>
    </row>
    <row r="51" spans="1:4" x14ac:dyDescent="0.25">
      <c r="A51" t="s">
        <v>76</v>
      </c>
      <c r="B51">
        <v>2025</v>
      </c>
      <c r="C51">
        <v>1898981</v>
      </c>
      <c r="D51">
        <v>1.0819442633160425E-2</v>
      </c>
    </row>
    <row r="52" spans="1:4" x14ac:dyDescent="0.25">
      <c r="A52" t="s">
        <v>77</v>
      </c>
      <c r="B52">
        <v>2016</v>
      </c>
      <c r="C52">
        <v>516861</v>
      </c>
      <c r="D52">
        <v>3.9800937041094614E-3</v>
      </c>
    </row>
    <row r="53" spans="1:4" x14ac:dyDescent="0.25">
      <c r="A53" t="s">
        <v>77</v>
      </c>
      <c r="B53">
        <v>2017</v>
      </c>
      <c r="C53">
        <v>524574</v>
      </c>
      <c r="D53">
        <v>1.4922774208152675E-2</v>
      </c>
    </row>
    <row r="54" spans="1:4" x14ac:dyDescent="0.25">
      <c r="A54" t="s">
        <v>77</v>
      </c>
      <c r="B54">
        <v>2018</v>
      </c>
      <c r="C54">
        <v>534754</v>
      </c>
      <c r="D54">
        <v>1.9406222954244778E-2</v>
      </c>
    </row>
    <row r="55" spans="1:4" x14ac:dyDescent="0.25">
      <c r="A55" t="s">
        <v>77</v>
      </c>
      <c r="B55">
        <v>2019</v>
      </c>
      <c r="C55">
        <v>545803</v>
      </c>
      <c r="D55">
        <v>2.0661837031607056E-2</v>
      </c>
    </row>
    <row r="56" spans="1:4" x14ac:dyDescent="0.25">
      <c r="A56" t="s">
        <v>77</v>
      </c>
      <c r="B56">
        <v>2020</v>
      </c>
      <c r="C56">
        <v>555975</v>
      </c>
      <c r="D56">
        <v>1.8636760882589507E-2</v>
      </c>
    </row>
    <row r="57" spans="1:4" x14ac:dyDescent="0.25">
      <c r="A57" t="s">
        <v>77</v>
      </c>
      <c r="B57">
        <v>2021</v>
      </c>
      <c r="C57">
        <v>564840</v>
      </c>
      <c r="D57">
        <v>1.594496155402671E-2</v>
      </c>
    </row>
    <row r="58" spans="1:4" x14ac:dyDescent="0.25">
      <c r="A58" t="s">
        <v>77</v>
      </c>
      <c r="B58">
        <v>2022</v>
      </c>
      <c r="C58">
        <v>571384</v>
      </c>
      <c r="D58">
        <v>1.1585581757665888E-2</v>
      </c>
    </row>
    <row r="59" spans="1:4" x14ac:dyDescent="0.25">
      <c r="A59" t="s">
        <v>77</v>
      </c>
      <c r="B59">
        <v>2023</v>
      </c>
      <c r="C59">
        <v>573836</v>
      </c>
      <c r="D59">
        <v>4.2913347241084806E-3</v>
      </c>
    </row>
    <row r="60" spans="1:4" x14ac:dyDescent="0.25">
      <c r="A60" t="s">
        <v>77</v>
      </c>
      <c r="B60">
        <v>2024</v>
      </c>
      <c r="C60">
        <v>574965</v>
      </c>
      <c r="D60">
        <v>1.9674610864428162E-3</v>
      </c>
    </row>
    <row r="61" spans="1:4" x14ac:dyDescent="0.25">
      <c r="A61" t="s">
        <v>77</v>
      </c>
      <c r="B61">
        <v>2025</v>
      </c>
      <c r="C61">
        <v>576067</v>
      </c>
      <c r="D61">
        <v>1.9166384040767699E-3</v>
      </c>
    </row>
    <row r="62" spans="1:4" x14ac:dyDescent="0.25">
      <c r="A62" t="s">
        <v>78</v>
      </c>
      <c r="B62">
        <v>2016</v>
      </c>
      <c r="C62">
        <v>6138627</v>
      </c>
      <c r="D62">
        <v>2.3922784958979718E-2</v>
      </c>
    </row>
    <row r="63" spans="1:4" x14ac:dyDescent="0.25">
      <c r="A63" t="s">
        <v>78</v>
      </c>
      <c r="B63">
        <v>2017</v>
      </c>
      <c r="C63">
        <v>6278555</v>
      </c>
      <c r="D63">
        <v>2.2794673792690123E-2</v>
      </c>
    </row>
    <row r="64" spans="1:4" x14ac:dyDescent="0.25">
      <c r="A64" t="s">
        <v>78</v>
      </c>
      <c r="B64">
        <v>2018</v>
      </c>
      <c r="C64">
        <v>6398586</v>
      </c>
      <c r="D64">
        <v>1.9117615438584198E-2</v>
      </c>
    </row>
    <row r="65" spans="1:4" x14ac:dyDescent="0.25">
      <c r="A65" t="s">
        <v>78</v>
      </c>
      <c r="B65">
        <v>2019</v>
      </c>
      <c r="C65">
        <v>6518716</v>
      </c>
      <c r="D65">
        <v>1.8774460482362823E-2</v>
      </c>
    </row>
    <row r="66" spans="1:4" x14ac:dyDescent="0.25">
      <c r="A66" t="s">
        <v>78</v>
      </c>
      <c r="B66">
        <v>2020</v>
      </c>
      <c r="C66">
        <v>6616636</v>
      </c>
      <c r="D66">
        <v>1.502136310279509E-2</v>
      </c>
    </row>
    <row r="67" spans="1:4" x14ac:dyDescent="0.25">
      <c r="A67" t="s">
        <v>78</v>
      </c>
      <c r="B67">
        <v>2021</v>
      </c>
      <c r="C67">
        <v>6555302</v>
      </c>
      <c r="D67">
        <v>-9.2696651289265429E-3</v>
      </c>
    </row>
    <row r="68" spans="1:4" x14ac:dyDescent="0.25">
      <c r="A68" t="s">
        <v>78</v>
      </c>
      <c r="B68">
        <v>2022</v>
      </c>
      <c r="C68">
        <v>6591580</v>
      </c>
      <c r="D68">
        <v>5.5341462529110022E-3</v>
      </c>
    </row>
    <row r="69" spans="1:4" x14ac:dyDescent="0.25">
      <c r="A69" t="s">
        <v>78</v>
      </c>
      <c r="B69">
        <v>2023</v>
      </c>
      <c r="C69">
        <v>6757251</v>
      </c>
      <c r="D69">
        <v>2.5133731214670836E-2</v>
      </c>
    </row>
    <row r="70" spans="1:4" x14ac:dyDescent="0.25">
      <c r="A70" t="s">
        <v>78</v>
      </c>
      <c r="B70">
        <v>2024</v>
      </c>
      <c r="C70">
        <v>6928534</v>
      </c>
      <c r="D70">
        <v>2.5348029842313095E-2</v>
      </c>
    </row>
    <row r="71" spans="1:4" x14ac:dyDescent="0.25">
      <c r="A71" t="s">
        <v>78</v>
      </c>
      <c r="B71">
        <v>2025</v>
      </c>
      <c r="C71">
        <v>7050570</v>
      </c>
      <c r="D71">
        <v>1.7613538448393268E-2</v>
      </c>
    </row>
    <row r="72" spans="1:4" x14ac:dyDescent="0.25">
      <c r="A72" t="s">
        <v>79</v>
      </c>
      <c r="B72">
        <v>2016</v>
      </c>
      <c r="C72">
        <v>2554506</v>
      </c>
      <c r="D72">
        <v>7.0574673855280526E-3</v>
      </c>
    </row>
    <row r="73" spans="1:4" x14ac:dyDescent="0.25">
      <c r="A73" t="s">
        <v>79</v>
      </c>
      <c r="B73">
        <v>2017</v>
      </c>
      <c r="C73">
        <v>2579276</v>
      </c>
      <c r="D73">
        <v>9.6965910434346214E-3</v>
      </c>
    </row>
    <row r="74" spans="1:4" x14ac:dyDescent="0.25">
      <c r="A74" t="s">
        <v>79</v>
      </c>
      <c r="B74">
        <v>2018</v>
      </c>
      <c r="C74">
        <v>2610320</v>
      </c>
      <c r="D74">
        <v>1.203593566566742E-2</v>
      </c>
    </row>
    <row r="75" spans="1:4" x14ac:dyDescent="0.25">
      <c r="A75" t="s">
        <v>79</v>
      </c>
      <c r="B75">
        <v>2019</v>
      </c>
      <c r="C75">
        <v>2649641</v>
      </c>
      <c r="D75">
        <v>1.5063670354592541E-2</v>
      </c>
    </row>
    <row r="76" spans="1:4" x14ac:dyDescent="0.25">
      <c r="A76" t="s">
        <v>79</v>
      </c>
      <c r="B76">
        <v>2020</v>
      </c>
      <c r="C76">
        <v>2706350</v>
      </c>
      <c r="D76">
        <v>2.1402522077519182E-2</v>
      </c>
    </row>
    <row r="77" spans="1:4" x14ac:dyDescent="0.25">
      <c r="A77" t="s">
        <v>79</v>
      </c>
      <c r="B77">
        <v>2021</v>
      </c>
      <c r="C77">
        <v>2739105</v>
      </c>
      <c r="D77">
        <v>1.2103016978587396E-2</v>
      </c>
    </row>
    <row r="78" spans="1:4" x14ac:dyDescent="0.25">
      <c r="A78" t="s">
        <v>79</v>
      </c>
      <c r="B78">
        <v>2022</v>
      </c>
      <c r="C78">
        <v>2778421</v>
      </c>
      <c r="D78">
        <v>1.4353593600829467E-2</v>
      </c>
    </row>
    <row r="79" spans="1:4" x14ac:dyDescent="0.25">
      <c r="A79" t="s">
        <v>79</v>
      </c>
      <c r="B79">
        <v>2023</v>
      </c>
      <c r="C79">
        <v>2868478</v>
      </c>
      <c r="D79">
        <v>3.2413014442375723E-2</v>
      </c>
    </row>
    <row r="80" spans="1:4" x14ac:dyDescent="0.25">
      <c r="A80" t="s">
        <v>79</v>
      </c>
      <c r="B80">
        <v>2024</v>
      </c>
      <c r="C80">
        <v>2962651</v>
      </c>
      <c r="D80">
        <v>3.2830302341520484E-2</v>
      </c>
    </row>
    <row r="81" spans="1:4" x14ac:dyDescent="0.25">
      <c r="A81" t="s">
        <v>79</v>
      </c>
      <c r="B81">
        <v>2025</v>
      </c>
      <c r="C81">
        <v>3031308</v>
      </c>
      <c r="D81">
        <v>2.3174177451208394E-2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F719-A02E-471C-99F8-2A5DB851A9AF}">
  <dimension ref="A1:D9"/>
  <sheetViews>
    <sheetView workbookViewId="0">
      <selection activeCell="F4" sqref="F4"/>
    </sheetView>
  </sheetViews>
  <sheetFormatPr defaultRowHeight="15" x14ac:dyDescent="0.25"/>
  <sheetData>
    <row r="1" spans="1:4" x14ac:dyDescent="0.25">
      <c r="A1" t="s">
        <v>0</v>
      </c>
      <c r="B1">
        <v>2015</v>
      </c>
      <c r="C1">
        <v>2025</v>
      </c>
      <c r="D1" t="s">
        <v>65</v>
      </c>
    </row>
    <row r="2" spans="1:4" x14ac:dyDescent="0.25">
      <c r="A2" t="s">
        <v>72</v>
      </c>
      <c r="B2">
        <v>394491</v>
      </c>
      <c r="C2">
        <v>483324</v>
      </c>
      <c r="D2">
        <f>(C2-B2)/B2 * 100</f>
        <v>22.518384449835356</v>
      </c>
    </row>
    <row r="3" spans="1:4" x14ac:dyDescent="0.25">
      <c r="A3" t="s">
        <v>73</v>
      </c>
      <c r="B3">
        <v>7595731</v>
      </c>
      <c r="C3">
        <v>8574064</v>
      </c>
      <c r="D3">
        <f t="shared" ref="D3:D9" si="0">(C3-B3)/B3 * 100</f>
        <v>12.880037484213172</v>
      </c>
    </row>
    <row r="4" spans="1:4" x14ac:dyDescent="0.25">
      <c r="A4" t="s">
        <v>74</v>
      </c>
      <c r="B4">
        <v>243059</v>
      </c>
      <c r="C4">
        <v>263862</v>
      </c>
      <c r="D4">
        <f t="shared" si="0"/>
        <v>8.5588272806191092</v>
      </c>
    </row>
    <row r="5" spans="1:4" x14ac:dyDescent="0.25">
      <c r="A5" t="s">
        <v>75</v>
      </c>
      <c r="B5">
        <v>4764439</v>
      </c>
      <c r="C5">
        <v>5648264</v>
      </c>
      <c r="D5">
        <f t="shared" si="0"/>
        <v>18.550452634612384</v>
      </c>
    </row>
    <row r="6" spans="1:4" x14ac:dyDescent="0.25">
      <c r="A6" t="s">
        <v>76</v>
      </c>
      <c r="B6">
        <v>1698433</v>
      </c>
      <c r="C6">
        <v>1898981</v>
      </c>
      <c r="D6">
        <f t="shared" si="0"/>
        <v>11.807825213005165</v>
      </c>
    </row>
    <row r="7" spans="1:4" x14ac:dyDescent="0.25">
      <c r="A7" t="s">
        <v>77</v>
      </c>
      <c r="B7">
        <v>514812</v>
      </c>
      <c r="C7">
        <v>576067</v>
      </c>
      <c r="D7">
        <f t="shared" si="0"/>
        <v>11.89851829405686</v>
      </c>
    </row>
    <row r="8" spans="1:4" x14ac:dyDescent="0.25">
      <c r="A8" t="s">
        <v>78</v>
      </c>
      <c r="B8">
        <v>5995205</v>
      </c>
      <c r="C8">
        <v>7050570</v>
      </c>
      <c r="D8">
        <f t="shared" si="0"/>
        <v>17.60348478492395</v>
      </c>
    </row>
    <row r="9" spans="1:4" x14ac:dyDescent="0.25">
      <c r="A9" t="s">
        <v>79</v>
      </c>
      <c r="B9">
        <v>2536604</v>
      </c>
      <c r="C9">
        <v>3031308</v>
      </c>
      <c r="D9">
        <f t="shared" si="0"/>
        <v>19.502610576976146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BC9C-C5D3-453E-B19E-8D418A72936E}">
  <dimension ref="A1:D9"/>
  <sheetViews>
    <sheetView workbookViewId="0">
      <selection activeCell="G10" sqref="G10"/>
    </sheetView>
  </sheetViews>
  <sheetFormatPr defaultRowHeight="15" x14ac:dyDescent="0.25"/>
  <cols>
    <col min="1" max="1" width="25" bestFit="1" customWidth="1"/>
  </cols>
  <sheetData>
    <row r="1" spans="1:4" x14ac:dyDescent="0.25">
      <c r="A1" t="s">
        <v>0</v>
      </c>
      <c r="B1">
        <v>2015</v>
      </c>
      <c r="C1">
        <v>2025</v>
      </c>
      <c r="D1" t="s">
        <v>65</v>
      </c>
    </row>
    <row r="2" spans="1:4" x14ac:dyDescent="0.25">
      <c r="A2" t="s">
        <v>80</v>
      </c>
      <c r="B2">
        <v>394491</v>
      </c>
      <c r="C2">
        <v>483324</v>
      </c>
      <c r="D2">
        <v>22.518384449999999</v>
      </c>
    </row>
    <row r="3" spans="1:4" x14ac:dyDescent="0.25">
      <c r="A3" t="s">
        <v>81</v>
      </c>
      <c r="B3">
        <v>7595731</v>
      </c>
      <c r="C3">
        <v>8574064</v>
      </c>
      <c r="D3">
        <v>12.88003748</v>
      </c>
    </row>
    <row r="4" spans="1:4" x14ac:dyDescent="0.25">
      <c r="A4" t="s">
        <v>82</v>
      </c>
      <c r="B4">
        <v>243059</v>
      </c>
      <c r="C4">
        <v>263862</v>
      </c>
      <c r="D4">
        <v>8.5588272809999992</v>
      </c>
    </row>
    <row r="5" spans="1:4" x14ac:dyDescent="0.25">
      <c r="A5" t="s">
        <v>83</v>
      </c>
      <c r="B5">
        <v>4764439</v>
      </c>
      <c r="C5">
        <v>5648264</v>
      </c>
      <c r="D5">
        <v>18.550452629999999</v>
      </c>
    </row>
    <row r="6" spans="1:4" x14ac:dyDescent="0.25">
      <c r="A6" t="s">
        <v>84</v>
      </c>
      <c r="B6">
        <v>1698433</v>
      </c>
      <c r="C6">
        <v>1898981</v>
      </c>
      <c r="D6">
        <v>11.807825210000001</v>
      </c>
    </row>
    <row r="7" spans="1:4" x14ac:dyDescent="0.25">
      <c r="A7" t="s">
        <v>85</v>
      </c>
      <c r="B7">
        <v>514812</v>
      </c>
      <c r="C7">
        <v>576067</v>
      </c>
      <c r="D7">
        <v>11.89851829</v>
      </c>
    </row>
    <row r="8" spans="1:4" x14ac:dyDescent="0.25">
      <c r="A8" t="s">
        <v>86</v>
      </c>
      <c r="B8">
        <v>5995205</v>
      </c>
      <c r="C8">
        <v>7050570</v>
      </c>
      <c r="D8">
        <v>17.603484779999999</v>
      </c>
    </row>
    <row r="9" spans="1:4" x14ac:dyDescent="0.25">
      <c r="A9" t="s">
        <v>87</v>
      </c>
      <c r="B9">
        <v>2536604</v>
      </c>
      <c r="C9">
        <v>3031308</v>
      </c>
      <c r="D9">
        <v>19.502610579999999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471D-062B-4E64-B95E-45C78187FD16}">
  <dimension ref="A1:C11"/>
  <sheetViews>
    <sheetView workbookViewId="0">
      <selection activeCell="E2" sqref="E2"/>
    </sheetView>
  </sheetViews>
  <sheetFormatPr defaultRowHeight="15" x14ac:dyDescent="0.25"/>
  <cols>
    <col min="3" max="3" width="21.140625" bestFit="1" customWidth="1"/>
  </cols>
  <sheetData>
    <row r="1" spans="1:3" x14ac:dyDescent="0.25">
      <c r="A1" t="s">
        <v>13</v>
      </c>
      <c r="B1" t="s">
        <v>14</v>
      </c>
      <c r="C1" t="s">
        <v>88</v>
      </c>
    </row>
    <row r="2" spans="1:3" x14ac:dyDescent="0.25">
      <c r="A2">
        <v>2016</v>
      </c>
      <c r="B2">
        <v>206230</v>
      </c>
      <c r="C2">
        <v>1.5067867858964696</v>
      </c>
    </row>
    <row r="3" spans="1:3" x14ac:dyDescent="0.25">
      <c r="A3">
        <v>2017</v>
      </c>
      <c r="B3">
        <v>263350</v>
      </c>
      <c r="C3">
        <v>1.6926391166400625</v>
      </c>
    </row>
    <row r="4" spans="1:3" x14ac:dyDescent="0.25">
      <c r="A4">
        <v>2018</v>
      </c>
      <c r="B4">
        <v>238220</v>
      </c>
      <c r="C4">
        <v>1.5108964156242508</v>
      </c>
    </row>
    <row r="5" spans="1:3" x14ac:dyDescent="0.25">
      <c r="A5">
        <v>2019</v>
      </c>
      <c r="B5">
        <v>241340</v>
      </c>
      <c r="C5">
        <v>1.5400081770772482</v>
      </c>
    </row>
    <row r="6" spans="1:3" x14ac:dyDescent="0.25">
      <c r="A6">
        <v>2020</v>
      </c>
      <c r="B6">
        <v>192700</v>
      </c>
      <c r="C6">
        <v>1.436742438095618</v>
      </c>
    </row>
    <row r="7" spans="1:3" x14ac:dyDescent="0.25">
      <c r="A7">
        <v>2021</v>
      </c>
      <c r="B7">
        <v>-84940</v>
      </c>
      <c r="C7">
        <v>9.7865905954770266E-2</v>
      </c>
    </row>
    <row r="8" spans="1:3" x14ac:dyDescent="0.25">
      <c r="A8">
        <v>2022</v>
      </c>
      <c r="B8">
        <v>207910</v>
      </c>
      <c r="C8">
        <v>1.0134173364874797</v>
      </c>
    </row>
    <row r="9" spans="1:3" x14ac:dyDescent="0.25">
      <c r="A9">
        <v>2023</v>
      </c>
      <c r="B9">
        <v>538340</v>
      </c>
      <c r="C9">
        <v>2.320555449881347</v>
      </c>
    </row>
    <row r="10" spans="1:3" x14ac:dyDescent="0.25">
      <c r="A10">
        <v>2024</v>
      </c>
      <c r="B10">
        <v>429160</v>
      </c>
      <c r="C10">
        <v>2.2599689782518131</v>
      </c>
    </row>
    <row r="11" spans="1:3" x14ac:dyDescent="0.25">
      <c r="A11">
        <v>2025</v>
      </c>
      <c r="B11">
        <v>305570</v>
      </c>
      <c r="C11">
        <v>1.5413935418263887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DA9D-0579-4573-9DA9-032F11C61173}">
  <dimension ref="A1:D81"/>
  <sheetViews>
    <sheetView workbookViewId="0">
      <selection activeCell="E55" sqref="E55"/>
    </sheetView>
  </sheetViews>
  <sheetFormatPr defaultRowHeight="15" x14ac:dyDescent="0.25"/>
  <cols>
    <col min="1" max="1" width="25" bestFit="1" customWidth="1"/>
    <col min="3" max="3" width="10.7109375" bestFit="1" customWidth="1"/>
    <col min="4" max="4" width="12.7109375" bestFit="1" customWidth="1"/>
  </cols>
  <sheetData>
    <row r="1" spans="1:4" x14ac:dyDescent="0.25">
      <c r="A1" t="s">
        <v>0</v>
      </c>
      <c r="B1" t="s">
        <v>13</v>
      </c>
      <c r="C1" t="s">
        <v>10</v>
      </c>
      <c r="D1" t="s">
        <v>67</v>
      </c>
    </row>
    <row r="2" spans="1:4" x14ac:dyDescent="0.25">
      <c r="A2" t="s">
        <v>72</v>
      </c>
      <c r="B2">
        <v>2016</v>
      </c>
      <c r="C2">
        <v>401673</v>
      </c>
      <c r="D2">
        <v>1.8205738533958948</v>
      </c>
    </row>
    <row r="3" spans="1:4" x14ac:dyDescent="0.25">
      <c r="A3" t="s">
        <v>72</v>
      </c>
      <c r="B3">
        <v>2017</v>
      </c>
      <c r="C3">
        <v>413017</v>
      </c>
      <c r="D3">
        <v>2.8241878343826943</v>
      </c>
    </row>
    <row r="4" spans="1:4" x14ac:dyDescent="0.25">
      <c r="A4" t="s">
        <v>72</v>
      </c>
      <c r="B4">
        <v>2018</v>
      </c>
      <c r="C4">
        <v>423810</v>
      </c>
      <c r="D4">
        <v>2.6132096257539037</v>
      </c>
    </row>
    <row r="5" spans="1:4" x14ac:dyDescent="0.25">
      <c r="A5" t="s">
        <v>72</v>
      </c>
      <c r="B5">
        <v>2019</v>
      </c>
      <c r="C5">
        <v>433801</v>
      </c>
      <c r="D5">
        <v>2.357424317500767</v>
      </c>
    </row>
    <row r="6" spans="1:4" x14ac:dyDescent="0.25">
      <c r="A6" t="s">
        <v>72</v>
      </c>
      <c r="B6">
        <v>2020</v>
      </c>
      <c r="C6">
        <v>443035</v>
      </c>
      <c r="D6">
        <v>2.1286257984651948</v>
      </c>
    </row>
    <row r="7" spans="1:4" x14ac:dyDescent="0.25">
      <c r="A7" t="s">
        <v>72</v>
      </c>
      <c r="B7">
        <v>2021</v>
      </c>
      <c r="C7">
        <v>449573</v>
      </c>
      <c r="D7">
        <v>1.4757299084722426</v>
      </c>
    </row>
    <row r="8" spans="1:4" x14ac:dyDescent="0.25">
      <c r="A8" t="s">
        <v>72</v>
      </c>
      <c r="B8">
        <v>2022</v>
      </c>
      <c r="C8">
        <v>459556</v>
      </c>
      <c r="D8">
        <v>2.2205515010910353</v>
      </c>
    </row>
    <row r="9" spans="1:4" x14ac:dyDescent="0.25">
      <c r="A9" t="s">
        <v>72</v>
      </c>
      <c r="B9">
        <v>2023</v>
      </c>
      <c r="C9">
        <v>469185</v>
      </c>
      <c r="D9">
        <v>2.0952832734204319</v>
      </c>
    </row>
    <row r="10" spans="1:4" x14ac:dyDescent="0.25">
      <c r="A10" t="s">
        <v>72</v>
      </c>
      <c r="B10">
        <v>2024</v>
      </c>
      <c r="C10">
        <v>477529</v>
      </c>
      <c r="D10">
        <v>1.7784029753721879</v>
      </c>
    </row>
    <row r="11" spans="1:4" x14ac:dyDescent="0.25">
      <c r="A11" t="s">
        <v>72</v>
      </c>
      <c r="B11">
        <v>2025</v>
      </c>
      <c r="C11">
        <v>483324</v>
      </c>
      <c r="D11">
        <v>1.2135388636082833</v>
      </c>
    </row>
    <row r="12" spans="1:4" x14ac:dyDescent="0.25">
      <c r="A12" t="s">
        <v>73</v>
      </c>
      <c r="B12">
        <v>2016</v>
      </c>
      <c r="C12">
        <v>7707412</v>
      </c>
      <c r="D12">
        <v>1.4703127322439407</v>
      </c>
    </row>
    <row r="13" spans="1:4" x14ac:dyDescent="0.25">
      <c r="A13" t="s">
        <v>73</v>
      </c>
      <c r="B13">
        <v>2017</v>
      </c>
      <c r="C13">
        <v>7833463</v>
      </c>
      <c r="D13">
        <v>1.6354516924747244</v>
      </c>
    </row>
    <row r="14" spans="1:4" x14ac:dyDescent="0.25">
      <c r="A14" t="s">
        <v>73</v>
      </c>
      <c r="B14">
        <v>2018</v>
      </c>
      <c r="C14">
        <v>7934688</v>
      </c>
      <c r="D14">
        <v>1.2922126523097128</v>
      </c>
    </row>
    <row r="15" spans="1:4" x14ac:dyDescent="0.25">
      <c r="A15" t="s">
        <v>73</v>
      </c>
      <c r="B15">
        <v>2019</v>
      </c>
      <c r="C15">
        <v>8032991</v>
      </c>
      <c r="D15">
        <v>1.2389018950713626</v>
      </c>
    </row>
    <row r="16" spans="1:4" x14ac:dyDescent="0.25">
      <c r="A16" t="s">
        <v>73</v>
      </c>
      <c r="B16">
        <v>2020</v>
      </c>
      <c r="C16">
        <v>8112001</v>
      </c>
      <c r="D16">
        <v>0.98356888486492766</v>
      </c>
    </row>
    <row r="17" spans="1:4" x14ac:dyDescent="0.25">
      <c r="A17" t="s">
        <v>73</v>
      </c>
      <c r="B17">
        <v>2021</v>
      </c>
      <c r="C17">
        <v>8093015</v>
      </c>
      <c r="D17">
        <v>-0.23404829461929305</v>
      </c>
    </row>
    <row r="18" spans="1:4" x14ac:dyDescent="0.25">
      <c r="A18" t="s">
        <v>73</v>
      </c>
      <c r="B18">
        <v>2022</v>
      </c>
      <c r="C18">
        <v>8153203</v>
      </c>
      <c r="D18">
        <v>0.74370305751317645</v>
      </c>
    </row>
    <row r="19" spans="1:4" x14ac:dyDescent="0.25">
      <c r="A19" t="s">
        <v>73</v>
      </c>
      <c r="B19">
        <v>2023</v>
      </c>
      <c r="C19">
        <v>8317329</v>
      </c>
      <c r="D19">
        <v>2.0130248198162124</v>
      </c>
    </row>
    <row r="20" spans="1:4" x14ac:dyDescent="0.25">
      <c r="A20" t="s">
        <v>73</v>
      </c>
      <c r="B20">
        <v>2024</v>
      </c>
      <c r="C20">
        <v>8477401</v>
      </c>
      <c r="D20">
        <v>1.9245601562713222</v>
      </c>
    </row>
    <row r="21" spans="1:4" x14ac:dyDescent="0.25">
      <c r="A21" t="s">
        <v>73</v>
      </c>
      <c r="B21">
        <v>2025</v>
      </c>
      <c r="C21">
        <v>8574064</v>
      </c>
      <c r="D21">
        <v>1.1402433363716074</v>
      </c>
    </row>
    <row r="22" spans="1:4" x14ac:dyDescent="0.25">
      <c r="A22" t="s">
        <v>74</v>
      </c>
      <c r="B22">
        <v>2016</v>
      </c>
      <c r="C22">
        <v>244627</v>
      </c>
      <c r="D22">
        <v>0.64511085785755728</v>
      </c>
    </row>
    <row r="23" spans="1:4" x14ac:dyDescent="0.25">
      <c r="A23" t="s">
        <v>74</v>
      </c>
      <c r="B23">
        <v>2017</v>
      </c>
      <c r="C23">
        <v>246231</v>
      </c>
      <c r="D23">
        <v>0.65569213537344617</v>
      </c>
    </row>
    <row r="24" spans="1:4" x14ac:dyDescent="0.25">
      <c r="A24" t="s">
        <v>74</v>
      </c>
      <c r="B24">
        <v>2018</v>
      </c>
      <c r="C24">
        <v>246674</v>
      </c>
      <c r="D24">
        <v>0.17991235872006367</v>
      </c>
    </row>
    <row r="25" spans="1:4" x14ac:dyDescent="0.25">
      <c r="A25" t="s">
        <v>74</v>
      </c>
      <c r="B25">
        <v>2019</v>
      </c>
      <c r="C25">
        <v>246016</v>
      </c>
      <c r="D25">
        <v>-0.26674882638624259</v>
      </c>
    </row>
    <row r="26" spans="1:4" x14ac:dyDescent="0.25">
      <c r="A26" t="s">
        <v>74</v>
      </c>
      <c r="B26">
        <v>2020</v>
      </c>
      <c r="C26">
        <v>246969</v>
      </c>
      <c r="D26">
        <v>0.38737317898022894</v>
      </c>
    </row>
    <row r="27" spans="1:4" x14ac:dyDescent="0.25">
      <c r="A27" t="s">
        <v>74</v>
      </c>
      <c r="B27">
        <v>2021</v>
      </c>
      <c r="C27">
        <v>248185</v>
      </c>
      <c r="D27">
        <v>0.49236948766849281</v>
      </c>
    </row>
    <row r="28" spans="1:4" x14ac:dyDescent="0.25">
      <c r="A28" t="s">
        <v>74</v>
      </c>
      <c r="B28">
        <v>2022</v>
      </c>
      <c r="C28">
        <v>252107</v>
      </c>
      <c r="D28">
        <v>1.5802727803855994</v>
      </c>
    </row>
    <row r="29" spans="1:4" x14ac:dyDescent="0.25">
      <c r="A29" t="s">
        <v>74</v>
      </c>
      <c r="B29">
        <v>2023</v>
      </c>
      <c r="C29">
        <v>256466</v>
      </c>
      <c r="D29">
        <v>1.7290277540885417</v>
      </c>
    </row>
    <row r="30" spans="1:4" x14ac:dyDescent="0.25">
      <c r="A30" t="s">
        <v>74</v>
      </c>
      <c r="B30">
        <v>2024</v>
      </c>
      <c r="C30">
        <v>259967</v>
      </c>
      <c r="D30">
        <v>1.3650932287320736</v>
      </c>
    </row>
    <row r="31" spans="1:4" x14ac:dyDescent="0.25">
      <c r="A31" t="s">
        <v>74</v>
      </c>
      <c r="B31">
        <v>2025</v>
      </c>
      <c r="C31">
        <v>263862</v>
      </c>
      <c r="D31">
        <v>1.4982670877457522</v>
      </c>
    </row>
    <row r="32" spans="1:4" x14ac:dyDescent="0.25">
      <c r="A32" t="s">
        <v>75</v>
      </c>
      <c r="B32">
        <v>2016</v>
      </c>
      <c r="C32">
        <v>4826538</v>
      </c>
      <c r="D32">
        <v>1.3033853513498652</v>
      </c>
    </row>
    <row r="33" spans="1:4" x14ac:dyDescent="0.25">
      <c r="A33" t="s">
        <v>75</v>
      </c>
      <c r="B33">
        <v>2017</v>
      </c>
      <c r="C33">
        <v>4906370</v>
      </c>
      <c r="D33">
        <v>1.6540219925752164</v>
      </c>
    </row>
    <row r="34" spans="1:4" x14ac:dyDescent="0.25">
      <c r="A34" t="s">
        <v>75</v>
      </c>
      <c r="B34">
        <v>2018</v>
      </c>
      <c r="C34">
        <v>4985955</v>
      </c>
      <c r="D34">
        <v>1.622074976000587</v>
      </c>
    </row>
    <row r="35" spans="1:4" x14ac:dyDescent="0.25">
      <c r="A35" t="s">
        <v>75</v>
      </c>
      <c r="B35">
        <v>2019</v>
      </c>
      <c r="C35">
        <v>5070306</v>
      </c>
      <c r="D35">
        <v>1.6917721880763064</v>
      </c>
    </row>
    <row r="36" spans="1:4" x14ac:dyDescent="0.25">
      <c r="A36" t="s">
        <v>75</v>
      </c>
      <c r="B36">
        <v>2020</v>
      </c>
      <c r="C36">
        <v>5154305</v>
      </c>
      <c r="D36">
        <v>1.6566850205885009</v>
      </c>
    </row>
    <row r="37" spans="1:4" x14ac:dyDescent="0.25">
      <c r="A37" t="s">
        <v>75</v>
      </c>
      <c r="B37">
        <v>2021</v>
      </c>
      <c r="C37">
        <v>5199548</v>
      </c>
      <c r="D37">
        <v>0.87777110590079555</v>
      </c>
    </row>
    <row r="38" spans="1:4" x14ac:dyDescent="0.25">
      <c r="A38" t="s">
        <v>75</v>
      </c>
      <c r="B38">
        <v>2022</v>
      </c>
      <c r="C38">
        <v>5283479</v>
      </c>
      <c r="D38">
        <v>1.6141980033649079</v>
      </c>
    </row>
    <row r="39" spans="1:4" x14ac:dyDescent="0.25">
      <c r="A39" t="s">
        <v>75</v>
      </c>
      <c r="B39">
        <v>2023</v>
      </c>
      <c r="C39">
        <v>5415786</v>
      </c>
      <c r="D39">
        <v>2.504164396224533</v>
      </c>
    </row>
    <row r="40" spans="1:4" x14ac:dyDescent="0.25">
      <c r="A40" t="s">
        <v>75</v>
      </c>
      <c r="B40">
        <v>2024</v>
      </c>
      <c r="C40">
        <v>5548832</v>
      </c>
      <c r="D40">
        <v>2.4566332569270646</v>
      </c>
    </row>
    <row r="41" spans="1:4" x14ac:dyDescent="0.25">
      <c r="A41" t="s">
        <v>75</v>
      </c>
      <c r="B41">
        <v>2025</v>
      </c>
      <c r="C41">
        <v>5648264</v>
      </c>
      <c r="D41">
        <v>1.7919446831333155</v>
      </c>
    </row>
    <row r="42" spans="1:4" x14ac:dyDescent="0.25">
      <c r="A42" t="s">
        <v>76</v>
      </c>
      <c r="B42">
        <v>2016</v>
      </c>
      <c r="C42">
        <v>1710334</v>
      </c>
      <c r="D42">
        <v>0.70070470839885945</v>
      </c>
    </row>
    <row r="43" spans="1:4" x14ac:dyDescent="0.25">
      <c r="A43" t="s">
        <v>76</v>
      </c>
      <c r="B43">
        <v>2017</v>
      </c>
      <c r="C43">
        <v>1725253</v>
      </c>
      <c r="D43">
        <v>0.87228576406713554</v>
      </c>
    </row>
    <row r="44" spans="1:4" x14ac:dyDescent="0.25">
      <c r="A44" t="s">
        <v>76</v>
      </c>
      <c r="B44">
        <v>2018</v>
      </c>
      <c r="C44">
        <v>1742255</v>
      </c>
      <c r="D44">
        <v>0.98547865153690506</v>
      </c>
    </row>
    <row r="45" spans="1:4" x14ac:dyDescent="0.25">
      <c r="A45" t="s">
        <v>76</v>
      </c>
      <c r="B45">
        <v>2019</v>
      </c>
      <c r="C45">
        <v>1762889</v>
      </c>
      <c r="D45">
        <v>1.1843272081296941</v>
      </c>
    </row>
    <row r="46" spans="1:4" x14ac:dyDescent="0.25">
      <c r="A46" t="s">
        <v>76</v>
      </c>
      <c r="B46">
        <v>2020</v>
      </c>
      <c r="C46">
        <v>1787847</v>
      </c>
      <c r="D46">
        <v>1.4157442697753517</v>
      </c>
    </row>
    <row r="47" spans="1:4" x14ac:dyDescent="0.25">
      <c r="A47" t="s">
        <v>76</v>
      </c>
      <c r="B47">
        <v>2021</v>
      </c>
      <c r="C47">
        <v>1798586</v>
      </c>
      <c r="D47">
        <v>0.60066661185213277</v>
      </c>
    </row>
    <row r="48" spans="1:4" x14ac:dyDescent="0.25">
      <c r="A48" t="s">
        <v>76</v>
      </c>
      <c r="B48">
        <v>2022</v>
      </c>
      <c r="C48">
        <v>1818356</v>
      </c>
      <c r="D48">
        <v>1.0991968134968249</v>
      </c>
    </row>
    <row r="49" spans="1:4" x14ac:dyDescent="0.25">
      <c r="A49" t="s">
        <v>76</v>
      </c>
      <c r="B49">
        <v>2023</v>
      </c>
      <c r="C49">
        <v>1851014</v>
      </c>
      <c r="D49">
        <v>1.7960179414812059</v>
      </c>
    </row>
    <row r="50" spans="1:4" x14ac:dyDescent="0.25">
      <c r="A50" t="s">
        <v>76</v>
      </c>
      <c r="B50">
        <v>2024</v>
      </c>
      <c r="C50">
        <v>1878655</v>
      </c>
      <c r="D50">
        <v>1.4932896239574633</v>
      </c>
    </row>
    <row r="51" spans="1:4" x14ac:dyDescent="0.25">
      <c r="A51" t="s">
        <v>76</v>
      </c>
      <c r="B51">
        <v>2025</v>
      </c>
      <c r="C51">
        <v>1898981</v>
      </c>
      <c r="D51">
        <v>1.0819442633160425</v>
      </c>
    </row>
    <row r="52" spans="1:4" x14ac:dyDescent="0.25">
      <c r="A52" t="s">
        <v>77</v>
      </c>
      <c r="B52">
        <v>2016</v>
      </c>
      <c r="C52">
        <v>516861</v>
      </c>
      <c r="D52">
        <v>0.39800937041094614</v>
      </c>
    </row>
    <row r="53" spans="1:4" x14ac:dyDescent="0.25">
      <c r="A53" t="s">
        <v>77</v>
      </c>
      <c r="B53">
        <v>2017</v>
      </c>
      <c r="C53">
        <v>524574</v>
      </c>
      <c r="D53">
        <v>1.4922774208152676</v>
      </c>
    </row>
    <row r="54" spans="1:4" x14ac:dyDescent="0.25">
      <c r="A54" t="s">
        <v>77</v>
      </c>
      <c r="B54">
        <v>2018</v>
      </c>
      <c r="C54">
        <v>534754</v>
      </c>
      <c r="D54">
        <v>1.9406222954244778</v>
      </c>
    </row>
    <row r="55" spans="1:4" x14ac:dyDescent="0.25">
      <c r="A55" t="s">
        <v>77</v>
      </c>
      <c r="B55">
        <v>2019</v>
      </c>
      <c r="C55">
        <v>545803</v>
      </c>
      <c r="D55">
        <v>2.0661837031607058</v>
      </c>
    </row>
    <row r="56" spans="1:4" x14ac:dyDescent="0.25">
      <c r="A56" t="s">
        <v>77</v>
      </c>
      <c r="B56">
        <v>2020</v>
      </c>
      <c r="C56">
        <v>555975</v>
      </c>
      <c r="D56">
        <v>1.8636760882589507</v>
      </c>
    </row>
    <row r="57" spans="1:4" x14ac:dyDescent="0.25">
      <c r="A57" t="s">
        <v>77</v>
      </c>
      <c r="B57">
        <v>2021</v>
      </c>
      <c r="C57">
        <v>564840</v>
      </c>
      <c r="D57">
        <v>1.5944961554026711</v>
      </c>
    </row>
    <row r="58" spans="1:4" x14ac:dyDescent="0.25">
      <c r="A58" t="s">
        <v>77</v>
      </c>
      <c r="B58">
        <v>2022</v>
      </c>
      <c r="C58">
        <v>571384</v>
      </c>
      <c r="D58">
        <v>1.1585581757665888</v>
      </c>
    </row>
    <row r="59" spans="1:4" x14ac:dyDescent="0.25">
      <c r="A59" t="s">
        <v>77</v>
      </c>
      <c r="B59">
        <v>2023</v>
      </c>
      <c r="C59">
        <v>573836</v>
      </c>
      <c r="D59">
        <v>0.42913347241084804</v>
      </c>
    </row>
    <row r="60" spans="1:4" x14ac:dyDescent="0.25">
      <c r="A60" t="s">
        <v>77</v>
      </c>
      <c r="B60">
        <v>2024</v>
      </c>
      <c r="C60">
        <v>574965</v>
      </c>
      <c r="D60">
        <v>0.19674610864428163</v>
      </c>
    </row>
    <row r="61" spans="1:4" x14ac:dyDescent="0.25">
      <c r="A61" t="s">
        <v>77</v>
      </c>
      <c r="B61">
        <v>2025</v>
      </c>
      <c r="C61">
        <v>576067</v>
      </c>
      <c r="D61">
        <v>0.19166384040767698</v>
      </c>
    </row>
    <row r="62" spans="1:4" x14ac:dyDescent="0.25">
      <c r="A62" t="s">
        <v>78</v>
      </c>
      <c r="B62">
        <v>2016</v>
      </c>
      <c r="C62">
        <v>6138627</v>
      </c>
      <c r="D62">
        <v>2.3922784958979717</v>
      </c>
    </row>
    <row r="63" spans="1:4" x14ac:dyDescent="0.25">
      <c r="A63" t="s">
        <v>78</v>
      </c>
      <c r="B63">
        <v>2017</v>
      </c>
      <c r="C63">
        <v>6278555</v>
      </c>
      <c r="D63">
        <v>2.2794673792690121</v>
      </c>
    </row>
    <row r="64" spans="1:4" x14ac:dyDescent="0.25">
      <c r="A64" t="s">
        <v>78</v>
      </c>
      <c r="B64">
        <v>2018</v>
      </c>
      <c r="C64">
        <v>6398586</v>
      </c>
      <c r="D64">
        <v>1.9117615438584197</v>
      </c>
    </row>
    <row r="65" spans="1:4" x14ac:dyDescent="0.25">
      <c r="A65" t="s">
        <v>78</v>
      </c>
      <c r="B65">
        <v>2019</v>
      </c>
      <c r="C65">
        <v>6518716</v>
      </c>
      <c r="D65">
        <v>1.8774460482362822</v>
      </c>
    </row>
    <row r="66" spans="1:4" x14ac:dyDescent="0.25">
      <c r="A66" t="s">
        <v>78</v>
      </c>
      <c r="B66">
        <v>2020</v>
      </c>
      <c r="C66">
        <v>6616636</v>
      </c>
      <c r="D66">
        <v>1.5021363102795089</v>
      </c>
    </row>
    <row r="67" spans="1:4" x14ac:dyDescent="0.25">
      <c r="A67" t="s">
        <v>78</v>
      </c>
      <c r="B67">
        <v>2021</v>
      </c>
      <c r="C67">
        <v>6555302</v>
      </c>
      <c r="D67">
        <v>-0.9269665128926543</v>
      </c>
    </row>
    <row r="68" spans="1:4" x14ac:dyDescent="0.25">
      <c r="A68" t="s">
        <v>78</v>
      </c>
      <c r="B68">
        <v>2022</v>
      </c>
      <c r="C68">
        <v>6591580</v>
      </c>
      <c r="D68">
        <v>0.55341462529110019</v>
      </c>
    </row>
    <row r="69" spans="1:4" x14ac:dyDescent="0.25">
      <c r="A69" t="s">
        <v>78</v>
      </c>
      <c r="B69">
        <v>2023</v>
      </c>
      <c r="C69">
        <v>6757251</v>
      </c>
      <c r="D69">
        <v>2.5133731214670836</v>
      </c>
    </row>
    <row r="70" spans="1:4" x14ac:dyDescent="0.25">
      <c r="A70" t="s">
        <v>78</v>
      </c>
      <c r="B70">
        <v>2024</v>
      </c>
      <c r="C70">
        <v>6928534</v>
      </c>
      <c r="D70">
        <v>2.5348029842313093</v>
      </c>
    </row>
    <row r="71" spans="1:4" x14ac:dyDescent="0.25">
      <c r="A71" t="s">
        <v>78</v>
      </c>
      <c r="B71">
        <v>2025</v>
      </c>
      <c r="C71">
        <v>7050570</v>
      </c>
      <c r="D71">
        <v>1.7613538448393269</v>
      </c>
    </row>
    <row r="72" spans="1:4" x14ac:dyDescent="0.25">
      <c r="A72" t="s">
        <v>79</v>
      </c>
      <c r="B72">
        <v>2016</v>
      </c>
      <c r="C72">
        <v>2554506</v>
      </c>
      <c r="D72">
        <v>0.70574673855280523</v>
      </c>
    </row>
    <row r="73" spans="1:4" x14ac:dyDescent="0.25">
      <c r="A73" t="s">
        <v>79</v>
      </c>
      <c r="B73">
        <v>2017</v>
      </c>
      <c r="C73">
        <v>2579276</v>
      </c>
      <c r="D73">
        <v>0.96965910434346214</v>
      </c>
    </row>
    <row r="74" spans="1:4" x14ac:dyDescent="0.25">
      <c r="A74" t="s">
        <v>79</v>
      </c>
      <c r="B74">
        <v>2018</v>
      </c>
      <c r="C74">
        <v>2610320</v>
      </c>
      <c r="D74">
        <v>1.2035935665667419</v>
      </c>
    </row>
    <row r="75" spans="1:4" x14ac:dyDescent="0.25">
      <c r="A75" t="s">
        <v>79</v>
      </c>
      <c r="B75">
        <v>2019</v>
      </c>
      <c r="C75">
        <v>2649641</v>
      </c>
      <c r="D75">
        <v>1.506367035459254</v>
      </c>
    </row>
    <row r="76" spans="1:4" x14ac:dyDescent="0.25">
      <c r="A76" t="s">
        <v>79</v>
      </c>
      <c r="B76">
        <v>2020</v>
      </c>
      <c r="C76">
        <v>2706350</v>
      </c>
      <c r="D76">
        <v>2.1402522077519182</v>
      </c>
    </row>
    <row r="77" spans="1:4" x14ac:dyDescent="0.25">
      <c r="A77" t="s">
        <v>79</v>
      </c>
      <c r="B77">
        <v>2021</v>
      </c>
      <c r="C77">
        <v>2739105</v>
      </c>
      <c r="D77">
        <v>1.2103016978587395</v>
      </c>
    </row>
    <row r="78" spans="1:4" x14ac:dyDescent="0.25">
      <c r="A78" t="s">
        <v>79</v>
      </c>
      <c r="B78">
        <v>2022</v>
      </c>
      <c r="C78">
        <v>2778421</v>
      </c>
      <c r="D78">
        <v>1.4353593600829466</v>
      </c>
    </row>
    <row r="79" spans="1:4" x14ac:dyDescent="0.25">
      <c r="A79" t="s">
        <v>79</v>
      </c>
      <c r="B79">
        <v>2023</v>
      </c>
      <c r="C79">
        <v>2868478</v>
      </c>
      <c r="D79">
        <v>3.2413014442375725</v>
      </c>
    </row>
    <row r="80" spans="1:4" x14ac:dyDescent="0.25">
      <c r="A80" t="s">
        <v>79</v>
      </c>
      <c r="B80">
        <v>2024</v>
      </c>
      <c r="C80">
        <v>2962651</v>
      </c>
      <c r="D80">
        <v>3.2830302341520485</v>
      </c>
    </row>
    <row r="81" spans="1:4" x14ac:dyDescent="0.25">
      <c r="A81" t="s">
        <v>79</v>
      </c>
      <c r="B81">
        <v>2025</v>
      </c>
      <c r="C81">
        <v>3031308</v>
      </c>
      <c r="D81">
        <v>2.3174177451208395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B15F-CB2D-496E-973C-043E31117B5E}">
  <dimension ref="A1:B12"/>
  <sheetViews>
    <sheetView workbookViewId="0">
      <selection activeCell="B3" sqref="B3:B12"/>
    </sheetView>
  </sheetViews>
  <sheetFormatPr defaultRowHeight="15" x14ac:dyDescent="0.25"/>
  <cols>
    <col min="2" max="2" width="20" customWidth="1"/>
  </cols>
  <sheetData>
    <row r="1" spans="1:2" x14ac:dyDescent="0.25">
      <c r="A1" t="s">
        <v>13</v>
      </c>
      <c r="B1" t="s">
        <v>14</v>
      </c>
    </row>
    <row r="2" spans="1:2" x14ac:dyDescent="0.25">
      <c r="A2">
        <v>2015</v>
      </c>
      <c r="B2">
        <v>184030</v>
      </c>
    </row>
    <row r="3" spans="1:2" x14ac:dyDescent="0.25">
      <c r="A3">
        <v>2016</v>
      </c>
      <c r="B3">
        <v>206230</v>
      </c>
    </row>
    <row r="4" spans="1:2" x14ac:dyDescent="0.25">
      <c r="A4">
        <v>2017</v>
      </c>
      <c r="B4">
        <v>263350</v>
      </c>
    </row>
    <row r="5" spans="1:2" x14ac:dyDescent="0.25">
      <c r="A5">
        <v>2018</v>
      </c>
      <c r="B5">
        <v>238220</v>
      </c>
    </row>
    <row r="6" spans="1:2" x14ac:dyDescent="0.25">
      <c r="A6">
        <v>2019</v>
      </c>
      <c r="B6">
        <v>241340</v>
      </c>
    </row>
    <row r="7" spans="1:2" x14ac:dyDescent="0.25">
      <c r="A7">
        <v>2020</v>
      </c>
      <c r="B7">
        <v>192700</v>
      </c>
    </row>
    <row r="8" spans="1:2" x14ac:dyDescent="0.25">
      <c r="A8">
        <v>2021</v>
      </c>
      <c r="B8">
        <v>-84940</v>
      </c>
    </row>
    <row r="9" spans="1:2" x14ac:dyDescent="0.25">
      <c r="A9">
        <v>2022</v>
      </c>
      <c r="B9">
        <v>207910</v>
      </c>
    </row>
    <row r="10" spans="1:2" x14ac:dyDescent="0.25">
      <c r="A10">
        <v>2023</v>
      </c>
      <c r="B10">
        <v>538340</v>
      </c>
    </row>
    <row r="11" spans="1:2" x14ac:dyDescent="0.25">
      <c r="A11">
        <v>2024</v>
      </c>
      <c r="B11">
        <v>429160</v>
      </c>
    </row>
    <row r="12" spans="1:2" x14ac:dyDescent="0.25">
      <c r="A12">
        <v>2025</v>
      </c>
      <c r="B12">
        <v>305570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714B-74FB-45DF-A868-42E06A20F683}">
  <dimension ref="A1:C11"/>
  <sheetViews>
    <sheetView workbookViewId="0">
      <selection activeCell="C2" sqref="C2:C11"/>
    </sheetView>
  </sheetViews>
  <sheetFormatPr defaultRowHeight="15" x14ac:dyDescent="0.25"/>
  <cols>
    <col min="2" max="2" width="10.7109375" bestFit="1" customWidth="1"/>
  </cols>
  <sheetData>
    <row r="1" spans="1:3" x14ac:dyDescent="0.25">
      <c r="A1" t="s">
        <v>13</v>
      </c>
      <c r="B1" t="s">
        <v>10</v>
      </c>
      <c r="C1" t="s">
        <v>66</v>
      </c>
    </row>
    <row r="2" spans="1:3" x14ac:dyDescent="0.25">
      <c r="A2">
        <v>2016</v>
      </c>
      <c r="B2">
        <v>24103425</v>
      </c>
      <c r="C2">
        <v>1.5067867858964696</v>
      </c>
    </row>
    <row r="3" spans="1:3" x14ac:dyDescent="0.25">
      <c r="A3">
        <v>2017</v>
      </c>
      <c r="B3">
        <v>24511409</v>
      </c>
      <c r="C3">
        <v>1.6926391166400625</v>
      </c>
    </row>
    <row r="4" spans="1:3" x14ac:dyDescent="0.25">
      <c r="A4">
        <v>2018</v>
      </c>
      <c r="B4">
        <v>24881751</v>
      </c>
      <c r="C4">
        <v>1.5108964156242508</v>
      </c>
    </row>
    <row r="5" spans="1:3" x14ac:dyDescent="0.25">
      <c r="A5">
        <v>2019</v>
      </c>
      <c r="B5">
        <v>25264932</v>
      </c>
      <c r="C5">
        <v>1.5400081770772482</v>
      </c>
    </row>
    <row r="6" spans="1:3" x14ac:dyDescent="0.25">
      <c r="A6">
        <v>2020</v>
      </c>
      <c r="B6">
        <v>25627924</v>
      </c>
      <c r="C6">
        <v>1.436742438095618</v>
      </c>
    </row>
    <row r="7" spans="1:3" x14ac:dyDescent="0.25">
      <c r="A7">
        <v>2021</v>
      </c>
      <c r="B7">
        <v>25653005</v>
      </c>
      <c r="C7">
        <v>9.7865905954770266E-2</v>
      </c>
    </row>
    <row r="8" spans="1:3" x14ac:dyDescent="0.25">
      <c r="A8">
        <v>2022</v>
      </c>
      <c r="B8">
        <v>25912977</v>
      </c>
      <c r="C8">
        <v>1.0134173364874797</v>
      </c>
    </row>
    <row r="9" spans="1:3" x14ac:dyDescent="0.25">
      <c r="A9">
        <v>2023</v>
      </c>
      <c r="B9">
        <v>26514302</v>
      </c>
      <c r="C9">
        <v>2.320555449881347</v>
      </c>
    </row>
    <row r="10" spans="1:3" x14ac:dyDescent="0.25">
      <c r="A10">
        <v>2024</v>
      </c>
      <c r="B10">
        <v>27113517</v>
      </c>
      <c r="C10">
        <v>2.2599689782518131</v>
      </c>
    </row>
    <row r="11" spans="1:3" x14ac:dyDescent="0.25">
      <c r="A11">
        <v>2025</v>
      </c>
      <c r="B11">
        <v>27531443</v>
      </c>
      <c r="C11">
        <v>1.5413935418263887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2CF2-68DF-40B2-B222-84AA54B2326C}">
  <dimension ref="A1:D9"/>
  <sheetViews>
    <sheetView workbookViewId="0">
      <selection activeCell="F8" sqref="F8"/>
    </sheetView>
  </sheetViews>
  <sheetFormatPr defaultRowHeight="15" x14ac:dyDescent="0.25"/>
  <cols>
    <col min="1" max="1" width="10.42578125" bestFit="1" customWidth="1"/>
    <col min="2" max="2" width="10.7109375" bestFit="1" customWidth="1"/>
    <col min="4" max="4" width="17.140625" bestFit="1" customWidth="1"/>
  </cols>
  <sheetData>
    <row r="1" spans="1:4" x14ac:dyDescent="0.25">
      <c r="A1" t="s">
        <v>1</v>
      </c>
      <c r="B1" t="s">
        <v>10</v>
      </c>
      <c r="C1" t="s">
        <v>11</v>
      </c>
      <c r="D1" t="s">
        <v>12</v>
      </c>
    </row>
    <row r="2" spans="1:4" x14ac:dyDescent="0.25">
      <c r="A2" t="s">
        <v>2</v>
      </c>
      <c r="B2">
        <v>5638830</v>
      </c>
      <c r="C2">
        <v>-33.865143000000003</v>
      </c>
      <c r="D2">
        <v>151.2099</v>
      </c>
    </row>
    <row r="3" spans="1:4" x14ac:dyDescent="0.25">
      <c r="A3" t="s">
        <v>3</v>
      </c>
      <c r="B3">
        <v>5435590</v>
      </c>
      <c r="C3">
        <v>-37.840935000000002</v>
      </c>
      <c r="D3">
        <v>144.94645700000001</v>
      </c>
    </row>
    <row r="4" spans="1:4" x14ac:dyDescent="0.25">
      <c r="A4" t="s">
        <v>4</v>
      </c>
      <c r="B4">
        <v>2833524</v>
      </c>
      <c r="C4">
        <v>-27.469799999999999</v>
      </c>
      <c r="D4">
        <v>153.02510000000001</v>
      </c>
    </row>
    <row r="5" spans="1:4" x14ac:dyDescent="0.25">
      <c r="A5" t="s">
        <v>5</v>
      </c>
      <c r="B5">
        <v>2452765</v>
      </c>
      <c r="C5">
        <v>-31.953512</v>
      </c>
      <c r="D5">
        <v>115.85704800000001</v>
      </c>
    </row>
    <row r="6" spans="1:4" x14ac:dyDescent="0.25">
      <c r="A6" t="s">
        <v>6</v>
      </c>
      <c r="B6">
        <v>1491015</v>
      </c>
      <c r="C6">
        <v>-34.921230000000001</v>
      </c>
      <c r="D6">
        <v>138.599503</v>
      </c>
    </row>
    <row r="7" spans="1:4" x14ac:dyDescent="0.25">
      <c r="A7" t="s">
        <v>7</v>
      </c>
      <c r="B7">
        <v>255250</v>
      </c>
      <c r="C7">
        <v>-42.880553999999997</v>
      </c>
      <c r="D7">
        <v>147.324997</v>
      </c>
    </row>
    <row r="8" spans="1:4" x14ac:dyDescent="0.25">
      <c r="A8" t="s">
        <v>8</v>
      </c>
      <c r="B8">
        <v>484630</v>
      </c>
      <c r="C8">
        <v>-35.282001000000001</v>
      </c>
      <c r="D8">
        <v>149.128998</v>
      </c>
    </row>
    <row r="9" spans="1:4" x14ac:dyDescent="0.25">
      <c r="A9" t="s">
        <v>9</v>
      </c>
      <c r="B9">
        <v>159284</v>
      </c>
      <c r="C9">
        <v>-12.462827000000001</v>
      </c>
      <c r="D9">
        <v>130.84178199999999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CC4E-91AB-4659-A61C-92F0F69D1DE4}">
  <dimension ref="A1:C22"/>
  <sheetViews>
    <sheetView zoomScaleNormal="100" workbookViewId="0">
      <selection activeCell="E11" sqref="E11"/>
    </sheetView>
  </sheetViews>
  <sheetFormatPr defaultRowHeight="15" x14ac:dyDescent="0.25"/>
  <cols>
    <col min="1" max="1" width="9.5703125" bestFit="1" customWidth="1"/>
    <col min="2" max="2" width="14.7109375" customWidth="1"/>
    <col min="3" max="3" width="23.42578125" customWidth="1"/>
  </cols>
  <sheetData>
    <row r="1" spans="1:3" x14ac:dyDescent="0.25">
      <c r="A1" t="s">
        <v>40</v>
      </c>
      <c r="B1" t="s">
        <v>38</v>
      </c>
      <c r="C1" t="s">
        <v>39</v>
      </c>
    </row>
    <row r="2" spans="1:3" x14ac:dyDescent="0.25">
      <c r="A2" t="s">
        <v>17</v>
      </c>
      <c r="B2">
        <v>12830.000000000002</v>
      </c>
      <c r="C2">
        <v>13820</v>
      </c>
    </row>
    <row r="3" spans="1:3" x14ac:dyDescent="0.25">
      <c r="A3" t="s">
        <v>18</v>
      </c>
      <c r="B3">
        <v>12730</v>
      </c>
      <c r="C3">
        <v>13520</v>
      </c>
    </row>
    <row r="4" spans="1:3" x14ac:dyDescent="0.25">
      <c r="A4" t="s">
        <v>19</v>
      </c>
      <c r="B4">
        <v>11020</v>
      </c>
      <c r="C4">
        <v>11559.999999999998</v>
      </c>
    </row>
    <row r="5" spans="1:3" x14ac:dyDescent="0.25">
      <c r="A5" t="s">
        <v>20</v>
      </c>
      <c r="B5">
        <v>27339.999999999996</v>
      </c>
      <c r="C5">
        <v>29960</v>
      </c>
    </row>
    <row r="6" spans="1:3" x14ac:dyDescent="0.25">
      <c r="A6" t="s">
        <v>21</v>
      </c>
      <c r="B6">
        <v>56750</v>
      </c>
      <c r="C6">
        <v>58770</v>
      </c>
    </row>
    <row r="7" spans="1:3" x14ac:dyDescent="0.25">
      <c r="A7" t="s">
        <v>22</v>
      </c>
      <c r="B7">
        <v>60500</v>
      </c>
      <c r="C7">
        <v>54150.000000000007</v>
      </c>
    </row>
    <row r="8" spans="1:3" x14ac:dyDescent="0.25">
      <c r="A8" t="s">
        <v>23</v>
      </c>
      <c r="B8">
        <v>32960</v>
      </c>
      <c r="C8">
        <v>31780</v>
      </c>
    </row>
    <row r="9" spans="1:3" x14ac:dyDescent="0.25">
      <c r="A9" t="s">
        <v>24</v>
      </c>
      <c r="B9">
        <v>20310.000000000004</v>
      </c>
      <c r="C9">
        <v>21180.000000000004</v>
      </c>
    </row>
    <row r="10" spans="1:3" x14ac:dyDescent="0.25">
      <c r="A10" t="s">
        <v>25</v>
      </c>
      <c r="B10">
        <v>13640</v>
      </c>
      <c r="C10">
        <v>14530.000000000002</v>
      </c>
    </row>
    <row r="11" spans="1:3" x14ac:dyDescent="0.25">
      <c r="A11" t="s">
        <v>26</v>
      </c>
      <c r="B11">
        <v>7600</v>
      </c>
      <c r="C11">
        <v>7880.0000000000009</v>
      </c>
    </row>
    <row r="12" spans="1:3" x14ac:dyDescent="0.25">
      <c r="A12" t="s">
        <v>27</v>
      </c>
      <c r="B12">
        <v>7010</v>
      </c>
      <c r="C12">
        <v>5750</v>
      </c>
    </row>
    <row r="13" spans="1:3" x14ac:dyDescent="0.25">
      <c r="A13" t="s">
        <v>28</v>
      </c>
      <c r="B13">
        <v>5850</v>
      </c>
      <c r="C13">
        <v>4200</v>
      </c>
    </row>
    <row r="14" spans="1:3" x14ac:dyDescent="0.25">
      <c r="A14" t="s">
        <v>29</v>
      </c>
      <c r="B14">
        <v>6399.9999999999991</v>
      </c>
      <c r="C14">
        <v>4590</v>
      </c>
    </row>
    <row r="15" spans="1:3" x14ac:dyDescent="0.25">
      <c r="A15" t="s">
        <v>30</v>
      </c>
      <c r="B15">
        <v>5480</v>
      </c>
      <c r="C15">
        <v>4420</v>
      </c>
    </row>
    <row r="16" spans="1:3" x14ac:dyDescent="0.25">
      <c r="A16" t="s">
        <v>31</v>
      </c>
      <c r="B16">
        <v>3410</v>
      </c>
      <c r="C16">
        <v>3070.0000000000005</v>
      </c>
    </row>
    <row r="17" spans="1:3" x14ac:dyDescent="0.25">
      <c r="A17" t="s">
        <v>32</v>
      </c>
      <c r="B17">
        <v>1610</v>
      </c>
      <c r="C17">
        <v>1610</v>
      </c>
    </row>
    <row r="18" spans="1:3" x14ac:dyDescent="0.25">
      <c r="A18" t="s">
        <v>33</v>
      </c>
      <c r="B18">
        <v>750</v>
      </c>
      <c r="C18">
        <v>660</v>
      </c>
    </row>
    <row r="19" spans="1:3" x14ac:dyDescent="0.25">
      <c r="A19" t="s">
        <v>34</v>
      </c>
      <c r="B19">
        <v>309.99999999999994</v>
      </c>
      <c r="C19">
        <v>240.00000000000003</v>
      </c>
    </row>
    <row r="20" spans="1:3" x14ac:dyDescent="0.25">
      <c r="A20" t="s">
        <v>35</v>
      </c>
      <c r="B20">
        <v>90</v>
      </c>
      <c r="C20">
        <v>60.000000000000007</v>
      </c>
    </row>
    <row r="21" spans="1:3" x14ac:dyDescent="0.25">
      <c r="A21" t="s">
        <v>36</v>
      </c>
      <c r="B21">
        <v>0</v>
      </c>
      <c r="C21">
        <v>0</v>
      </c>
    </row>
    <row r="22" spans="1:3" x14ac:dyDescent="0.25">
      <c r="A22" t="s">
        <v>15</v>
      </c>
      <c r="B22">
        <v>0</v>
      </c>
      <c r="C2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B2E1-3B80-4807-A5B4-ACE0A503B7CB}">
  <dimension ref="A1:D12"/>
  <sheetViews>
    <sheetView workbookViewId="0">
      <selection activeCell="H16" sqref="H16"/>
    </sheetView>
  </sheetViews>
  <sheetFormatPr defaultRowHeight="15" x14ac:dyDescent="0.25"/>
  <cols>
    <col min="2" max="2" width="11.85546875" bestFit="1" customWidth="1"/>
    <col min="3" max="3" width="15.85546875" bestFit="1" customWidth="1"/>
    <col min="4" max="4" width="21.7109375" bestFit="1" customWidth="1"/>
  </cols>
  <sheetData>
    <row r="1" spans="1:4" x14ac:dyDescent="0.25">
      <c r="A1" t="s">
        <v>13</v>
      </c>
      <c r="B1" t="s">
        <v>89</v>
      </c>
      <c r="C1" t="s">
        <v>90</v>
      </c>
      <c r="D1" t="s">
        <v>91</v>
      </c>
    </row>
    <row r="2" spans="1:4" x14ac:dyDescent="0.25">
      <c r="A2">
        <v>2015</v>
      </c>
      <c r="B2">
        <v>339436</v>
      </c>
      <c r="C2">
        <v>154285</v>
      </c>
      <c r="D2">
        <v>181080</v>
      </c>
    </row>
    <row r="3" spans="1:4" x14ac:dyDescent="0.25">
      <c r="A3">
        <v>2016</v>
      </c>
      <c r="B3">
        <v>357796</v>
      </c>
      <c r="C3">
        <v>151267</v>
      </c>
      <c r="D3">
        <v>195976</v>
      </c>
    </row>
    <row r="4" spans="1:4" x14ac:dyDescent="0.25">
      <c r="A4">
        <v>2017</v>
      </c>
      <c r="B4">
        <v>407984</v>
      </c>
      <c r="C4">
        <v>150436</v>
      </c>
      <c r="D4">
        <v>259585</v>
      </c>
    </row>
    <row r="5" spans="1:4" x14ac:dyDescent="0.25">
      <c r="A5">
        <v>2018</v>
      </c>
      <c r="B5">
        <v>370342</v>
      </c>
      <c r="C5">
        <v>142279</v>
      </c>
      <c r="D5">
        <v>237997</v>
      </c>
    </row>
    <row r="6" spans="1:4" x14ac:dyDescent="0.25">
      <c r="A6">
        <v>2019</v>
      </c>
      <c r="B6">
        <v>383181</v>
      </c>
      <c r="C6">
        <v>143667</v>
      </c>
      <c r="D6">
        <v>250669</v>
      </c>
    </row>
    <row r="7" spans="1:4" x14ac:dyDescent="0.25">
      <c r="A7">
        <v>2020</v>
      </c>
      <c r="B7">
        <v>362992</v>
      </c>
      <c r="C7">
        <v>136444</v>
      </c>
      <c r="D7">
        <v>239245</v>
      </c>
    </row>
    <row r="8" spans="1:4" x14ac:dyDescent="0.25">
      <c r="A8">
        <v>2021</v>
      </c>
      <c r="B8">
        <v>25081</v>
      </c>
      <c r="C8">
        <v>136468</v>
      </c>
      <c r="D8">
        <v>-94326</v>
      </c>
    </row>
    <row r="9" spans="1:4" x14ac:dyDescent="0.25">
      <c r="A9">
        <v>2022</v>
      </c>
      <c r="B9">
        <v>259972</v>
      </c>
      <c r="C9">
        <v>133565</v>
      </c>
      <c r="D9">
        <v>131018</v>
      </c>
    </row>
    <row r="10" spans="1:4" x14ac:dyDescent="0.25">
      <c r="A10">
        <v>2023</v>
      </c>
      <c r="B10">
        <v>601325</v>
      </c>
      <c r="C10">
        <v>105492</v>
      </c>
      <c r="D10">
        <v>495833</v>
      </c>
    </row>
    <row r="11" spans="1:4" x14ac:dyDescent="0.25">
      <c r="A11">
        <v>2024</v>
      </c>
      <c r="B11">
        <v>599215</v>
      </c>
      <c r="C11">
        <v>105392</v>
      </c>
      <c r="D11">
        <v>493823</v>
      </c>
    </row>
    <row r="12" spans="1:4" x14ac:dyDescent="0.25">
      <c r="A12">
        <v>2025</v>
      </c>
      <c r="B12">
        <v>417926</v>
      </c>
      <c r="C12">
        <v>107433</v>
      </c>
      <c r="D12">
        <v>310493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21C3-1A69-4E8B-8E43-42C5EC82E37E}">
  <dimension ref="A1:C177"/>
  <sheetViews>
    <sheetView workbookViewId="0">
      <selection activeCell="S38" sqref="S38"/>
    </sheetView>
  </sheetViews>
  <sheetFormatPr defaultRowHeight="15" x14ac:dyDescent="0.25"/>
  <cols>
    <col min="1" max="1" width="17.28515625" bestFit="1" customWidth="1"/>
  </cols>
  <sheetData>
    <row r="1" spans="1:3" x14ac:dyDescent="0.25">
      <c r="A1" t="s">
        <v>13</v>
      </c>
      <c r="B1" t="s">
        <v>53</v>
      </c>
      <c r="C1" t="s">
        <v>54</v>
      </c>
    </row>
    <row r="2" spans="1:3" x14ac:dyDescent="0.25">
      <c r="A2">
        <v>2015</v>
      </c>
      <c r="B2" t="s">
        <v>41</v>
      </c>
      <c r="C2">
        <v>38400</v>
      </c>
    </row>
    <row r="3" spans="1:3" x14ac:dyDescent="0.25">
      <c r="A3">
        <v>2015</v>
      </c>
      <c r="B3" t="s">
        <v>68</v>
      </c>
      <c r="C3">
        <v>39070</v>
      </c>
    </row>
    <row r="4" spans="1:3" x14ac:dyDescent="0.25">
      <c r="A4">
        <v>2015</v>
      </c>
      <c r="B4" t="s">
        <v>69</v>
      </c>
      <c r="C4">
        <v>9400</v>
      </c>
    </row>
    <row r="5" spans="1:3" x14ac:dyDescent="0.25">
      <c r="A5">
        <v>2015</v>
      </c>
      <c r="B5" t="s">
        <v>92</v>
      </c>
      <c r="C5">
        <v>930</v>
      </c>
    </row>
    <row r="6" spans="1:3" x14ac:dyDescent="0.25">
      <c r="A6">
        <v>2015</v>
      </c>
      <c r="B6" t="s">
        <v>44</v>
      </c>
      <c r="C6">
        <v>12430</v>
      </c>
    </row>
    <row r="7" spans="1:3" x14ac:dyDescent="0.25">
      <c r="A7">
        <v>2015</v>
      </c>
      <c r="B7" t="s">
        <v>42</v>
      </c>
      <c r="C7">
        <v>6410</v>
      </c>
    </row>
    <row r="8" spans="1:3" x14ac:dyDescent="0.25">
      <c r="A8">
        <v>2015</v>
      </c>
      <c r="B8" t="s">
        <v>45</v>
      </c>
      <c r="C8">
        <v>4120</v>
      </c>
    </row>
    <row r="9" spans="1:3" x14ac:dyDescent="0.25">
      <c r="A9">
        <v>2015</v>
      </c>
      <c r="B9" t="s">
        <v>93</v>
      </c>
      <c r="C9">
        <v>2880</v>
      </c>
    </row>
    <row r="10" spans="1:3" x14ac:dyDescent="0.25">
      <c r="A10">
        <v>2015</v>
      </c>
      <c r="B10" t="s">
        <v>43</v>
      </c>
      <c r="C10">
        <v>7230</v>
      </c>
    </row>
    <row r="11" spans="1:3" x14ac:dyDescent="0.25">
      <c r="A11">
        <v>2015</v>
      </c>
      <c r="B11" t="s">
        <v>49</v>
      </c>
      <c r="C11">
        <v>7320</v>
      </c>
    </row>
    <row r="12" spans="1:3" x14ac:dyDescent="0.25">
      <c r="A12">
        <v>2015</v>
      </c>
      <c r="B12" t="s">
        <v>94</v>
      </c>
      <c r="C12">
        <v>2490</v>
      </c>
    </row>
    <row r="13" spans="1:3" x14ac:dyDescent="0.25">
      <c r="A13">
        <v>2015</v>
      </c>
      <c r="B13" t="s">
        <v>95</v>
      </c>
      <c r="C13">
        <v>2900</v>
      </c>
    </row>
    <row r="14" spans="1:3" x14ac:dyDescent="0.25">
      <c r="A14">
        <v>2015</v>
      </c>
      <c r="B14" t="s">
        <v>50</v>
      </c>
      <c r="C14">
        <v>3460</v>
      </c>
    </row>
    <row r="15" spans="1:3" x14ac:dyDescent="0.25">
      <c r="A15">
        <v>2015</v>
      </c>
      <c r="B15" t="s">
        <v>48</v>
      </c>
      <c r="C15">
        <v>2620</v>
      </c>
    </row>
    <row r="16" spans="1:3" x14ac:dyDescent="0.25">
      <c r="A16">
        <v>2015</v>
      </c>
      <c r="B16" t="s">
        <v>46</v>
      </c>
      <c r="C16">
        <v>-3240</v>
      </c>
    </row>
    <row r="17" spans="1:3" x14ac:dyDescent="0.25">
      <c r="A17">
        <v>2015</v>
      </c>
      <c r="B17" t="s">
        <v>70</v>
      </c>
      <c r="C17">
        <v>1820</v>
      </c>
    </row>
    <row r="18" spans="1:3" x14ac:dyDescent="0.25">
      <c r="A18">
        <v>2016</v>
      </c>
      <c r="B18" t="s">
        <v>41</v>
      </c>
      <c r="C18">
        <v>40860</v>
      </c>
    </row>
    <row r="19" spans="1:3" x14ac:dyDescent="0.25">
      <c r="A19">
        <v>2016</v>
      </c>
      <c r="B19" t="s">
        <v>68</v>
      </c>
      <c r="C19">
        <v>45480</v>
      </c>
    </row>
    <row r="20" spans="1:3" x14ac:dyDescent="0.25">
      <c r="A20">
        <v>2016</v>
      </c>
      <c r="B20" t="s">
        <v>69</v>
      </c>
      <c r="C20">
        <v>9140</v>
      </c>
    </row>
    <row r="21" spans="1:3" x14ac:dyDescent="0.25">
      <c r="A21">
        <v>2016</v>
      </c>
      <c r="B21" t="s">
        <v>92</v>
      </c>
      <c r="C21">
        <v>1480</v>
      </c>
    </row>
    <row r="22" spans="1:3" x14ac:dyDescent="0.25">
      <c r="A22">
        <v>2016</v>
      </c>
      <c r="B22" t="s">
        <v>44</v>
      </c>
      <c r="C22">
        <v>13000</v>
      </c>
    </row>
    <row r="23" spans="1:3" x14ac:dyDescent="0.25">
      <c r="A23">
        <v>2016</v>
      </c>
      <c r="B23" t="s">
        <v>42</v>
      </c>
      <c r="C23">
        <v>7970</v>
      </c>
    </row>
    <row r="24" spans="1:3" x14ac:dyDescent="0.25">
      <c r="A24">
        <v>2016</v>
      </c>
      <c r="B24" t="s">
        <v>45</v>
      </c>
      <c r="C24">
        <v>4200</v>
      </c>
    </row>
    <row r="25" spans="1:3" x14ac:dyDescent="0.25">
      <c r="A25">
        <v>2016</v>
      </c>
      <c r="B25" t="s">
        <v>93</v>
      </c>
      <c r="C25">
        <v>2830</v>
      </c>
    </row>
    <row r="26" spans="1:3" x14ac:dyDescent="0.25">
      <c r="A26">
        <v>2016</v>
      </c>
      <c r="B26" t="s">
        <v>43</v>
      </c>
      <c r="C26">
        <v>6730</v>
      </c>
    </row>
    <row r="27" spans="1:3" x14ac:dyDescent="0.25">
      <c r="A27">
        <v>2016</v>
      </c>
      <c r="B27" t="s">
        <v>49</v>
      </c>
      <c r="C27">
        <v>7830</v>
      </c>
    </row>
    <row r="28" spans="1:3" x14ac:dyDescent="0.25">
      <c r="A28">
        <v>2016</v>
      </c>
      <c r="B28" t="s">
        <v>94</v>
      </c>
      <c r="C28">
        <v>2830</v>
      </c>
    </row>
    <row r="29" spans="1:3" x14ac:dyDescent="0.25">
      <c r="A29">
        <v>2016</v>
      </c>
      <c r="B29" t="s">
        <v>95</v>
      </c>
      <c r="C29">
        <v>2760</v>
      </c>
    </row>
    <row r="30" spans="1:3" x14ac:dyDescent="0.25">
      <c r="A30">
        <v>2016</v>
      </c>
      <c r="B30" t="s">
        <v>50</v>
      </c>
      <c r="C30">
        <v>4080</v>
      </c>
    </row>
    <row r="31" spans="1:3" x14ac:dyDescent="0.25">
      <c r="A31">
        <v>2016</v>
      </c>
      <c r="B31" t="s">
        <v>48</v>
      </c>
      <c r="C31">
        <v>2460</v>
      </c>
    </row>
    <row r="32" spans="1:3" x14ac:dyDescent="0.25">
      <c r="A32">
        <v>2016</v>
      </c>
      <c r="B32" t="s">
        <v>46</v>
      </c>
      <c r="C32">
        <v>-2240</v>
      </c>
    </row>
    <row r="33" spans="1:3" x14ac:dyDescent="0.25">
      <c r="A33">
        <v>2016</v>
      </c>
      <c r="B33" t="s">
        <v>70</v>
      </c>
      <c r="C33">
        <v>1800</v>
      </c>
    </row>
    <row r="34" spans="1:3" x14ac:dyDescent="0.25">
      <c r="A34">
        <v>2017</v>
      </c>
      <c r="B34" t="s">
        <v>41</v>
      </c>
      <c r="C34">
        <v>49730</v>
      </c>
    </row>
    <row r="35" spans="1:3" x14ac:dyDescent="0.25">
      <c r="A35">
        <v>2017</v>
      </c>
      <c r="B35" t="s">
        <v>68</v>
      </c>
      <c r="C35">
        <v>50020</v>
      </c>
    </row>
    <row r="36" spans="1:3" x14ac:dyDescent="0.25">
      <c r="A36">
        <v>2017</v>
      </c>
      <c r="B36" t="s">
        <v>69</v>
      </c>
      <c r="C36">
        <v>10460</v>
      </c>
    </row>
    <row r="37" spans="1:3" x14ac:dyDescent="0.25">
      <c r="A37">
        <v>2017</v>
      </c>
      <c r="B37" t="s">
        <v>92</v>
      </c>
      <c r="C37">
        <v>1850</v>
      </c>
    </row>
    <row r="38" spans="1:3" x14ac:dyDescent="0.25">
      <c r="A38">
        <v>2017</v>
      </c>
      <c r="B38" t="s">
        <v>44</v>
      </c>
      <c r="C38">
        <v>13590</v>
      </c>
    </row>
    <row r="39" spans="1:3" x14ac:dyDescent="0.25">
      <c r="A39">
        <v>2017</v>
      </c>
      <c r="B39" t="s">
        <v>42</v>
      </c>
      <c r="C39">
        <v>14880</v>
      </c>
    </row>
    <row r="40" spans="1:3" x14ac:dyDescent="0.25">
      <c r="A40">
        <v>2017</v>
      </c>
      <c r="B40" t="s">
        <v>45</v>
      </c>
      <c r="C40">
        <v>5510</v>
      </c>
    </row>
    <row r="41" spans="1:3" x14ac:dyDescent="0.25">
      <c r="A41">
        <v>2017</v>
      </c>
      <c r="B41" t="s">
        <v>93</v>
      </c>
      <c r="C41">
        <v>2940</v>
      </c>
    </row>
    <row r="42" spans="1:3" x14ac:dyDescent="0.25">
      <c r="A42">
        <v>2017</v>
      </c>
      <c r="B42" t="s">
        <v>43</v>
      </c>
      <c r="C42">
        <v>6990</v>
      </c>
    </row>
    <row r="43" spans="1:3" x14ac:dyDescent="0.25">
      <c r="A43">
        <v>2017</v>
      </c>
      <c r="B43" t="s">
        <v>49</v>
      </c>
      <c r="C43">
        <v>8120</v>
      </c>
    </row>
    <row r="44" spans="1:3" x14ac:dyDescent="0.25">
      <c r="A44">
        <v>2017</v>
      </c>
      <c r="B44" t="s">
        <v>94</v>
      </c>
      <c r="C44">
        <v>3840</v>
      </c>
    </row>
    <row r="45" spans="1:3" x14ac:dyDescent="0.25">
      <c r="A45">
        <v>2017</v>
      </c>
      <c r="B45" t="s">
        <v>95</v>
      </c>
      <c r="C45">
        <v>2970</v>
      </c>
    </row>
    <row r="46" spans="1:3" x14ac:dyDescent="0.25">
      <c r="A46">
        <v>2017</v>
      </c>
      <c r="B46" t="s">
        <v>50</v>
      </c>
      <c r="C46">
        <v>5580</v>
      </c>
    </row>
    <row r="47" spans="1:3" x14ac:dyDescent="0.25">
      <c r="A47">
        <v>2017</v>
      </c>
      <c r="B47" t="s">
        <v>48</v>
      </c>
      <c r="C47">
        <v>3000</v>
      </c>
    </row>
    <row r="48" spans="1:3" x14ac:dyDescent="0.25">
      <c r="A48">
        <v>2017</v>
      </c>
      <c r="B48" t="s">
        <v>46</v>
      </c>
      <c r="C48">
        <v>-420</v>
      </c>
    </row>
    <row r="49" spans="1:3" x14ac:dyDescent="0.25">
      <c r="A49">
        <v>2017</v>
      </c>
      <c r="B49" t="s">
        <v>70</v>
      </c>
      <c r="C49">
        <v>1960</v>
      </c>
    </row>
    <row r="50" spans="1:3" x14ac:dyDescent="0.25">
      <c r="A50">
        <v>2018</v>
      </c>
      <c r="B50" t="s">
        <v>41</v>
      </c>
      <c r="C50">
        <v>55860</v>
      </c>
    </row>
    <row r="51" spans="1:3" x14ac:dyDescent="0.25">
      <c r="A51">
        <v>2018</v>
      </c>
      <c r="B51" t="s">
        <v>68</v>
      </c>
      <c r="C51">
        <v>44610</v>
      </c>
    </row>
    <row r="52" spans="1:3" x14ac:dyDescent="0.25">
      <c r="A52">
        <v>2018</v>
      </c>
      <c r="B52" t="s">
        <v>69</v>
      </c>
      <c r="C52">
        <v>7830</v>
      </c>
    </row>
    <row r="53" spans="1:3" x14ac:dyDescent="0.25">
      <c r="A53">
        <v>2018</v>
      </c>
      <c r="B53" t="s">
        <v>92</v>
      </c>
      <c r="C53">
        <v>3010</v>
      </c>
    </row>
    <row r="54" spans="1:3" x14ac:dyDescent="0.25">
      <c r="A54">
        <v>2018</v>
      </c>
      <c r="B54" t="s">
        <v>44</v>
      </c>
      <c r="C54">
        <v>12620</v>
      </c>
    </row>
    <row r="55" spans="1:3" x14ac:dyDescent="0.25">
      <c r="A55">
        <v>2018</v>
      </c>
      <c r="B55" t="s">
        <v>42</v>
      </c>
      <c r="C55">
        <v>21000</v>
      </c>
    </row>
    <row r="56" spans="1:3" x14ac:dyDescent="0.25">
      <c r="A56">
        <v>2018</v>
      </c>
      <c r="B56" t="s">
        <v>45</v>
      </c>
      <c r="C56">
        <v>5480</v>
      </c>
    </row>
    <row r="57" spans="1:3" x14ac:dyDescent="0.25">
      <c r="A57">
        <v>2018</v>
      </c>
      <c r="B57" t="s">
        <v>93</v>
      </c>
      <c r="C57">
        <v>2910</v>
      </c>
    </row>
    <row r="58" spans="1:3" x14ac:dyDescent="0.25">
      <c r="A58">
        <v>2018</v>
      </c>
      <c r="B58" t="s">
        <v>43</v>
      </c>
      <c r="C58">
        <v>7840</v>
      </c>
    </row>
    <row r="59" spans="1:3" x14ac:dyDescent="0.25">
      <c r="A59">
        <v>2018</v>
      </c>
      <c r="B59" t="s">
        <v>49</v>
      </c>
      <c r="C59">
        <v>7250</v>
      </c>
    </row>
    <row r="60" spans="1:3" x14ac:dyDescent="0.25">
      <c r="A60">
        <v>2018</v>
      </c>
      <c r="B60" t="s">
        <v>94</v>
      </c>
      <c r="C60">
        <v>3370</v>
      </c>
    </row>
    <row r="61" spans="1:3" x14ac:dyDescent="0.25">
      <c r="A61">
        <v>2018</v>
      </c>
      <c r="B61" t="s">
        <v>95</v>
      </c>
      <c r="C61">
        <v>3320</v>
      </c>
    </row>
    <row r="62" spans="1:3" x14ac:dyDescent="0.25">
      <c r="A62">
        <v>2018</v>
      </c>
      <c r="B62" t="s">
        <v>50</v>
      </c>
      <c r="C62">
        <v>4680</v>
      </c>
    </row>
    <row r="63" spans="1:3" x14ac:dyDescent="0.25">
      <c r="A63">
        <v>2018</v>
      </c>
      <c r="B63" t="s">
        <v>48</v>
      </c>
      <c r="C63">
        <v>2680</v>
      </c>
    </row>
    <row r="64" spans="1:3" x14ac:dyDescent="0.25">
      <c r="A64">
        <v>2018</v>
      </c>
      <c r="B64" t="s">
        <v>46</v>
      </c>
      <c r="C64">
        <v>590</v>
      </c>
    </row>
    <row r="65" spans="1:3" x14ac:dyDescent="0.25">
      <c r="A65">
        <v>2018</v>
      </c>
      <c r="B65" t="s">
        <v>70</v>
      </c>
      <c r="C65">
        <v>1290</v>
      </c>
    </row>
    <row r="66" spans="1:3" x14ac:dyDescent="0.25">
      <c r="A66">
        <v>2019</v>
      </c>
      <c r="B66" t="s">
        <v>41</v>
      </c>
      <c r="C66">
        <v>73190</v>
      </c>
    </row>
    <row r="67" spans="1:3" x14ac:dyDescent="0.25">
      <c r="A67">
        <v>2019</v>
      </c>
      <c r="B67" t="s">
        <v>68</v>
      </c>
      <c r="C67">
        <v>20170</v>
      </c>
    </row>
    <row r="68" spans="1:3" x14ac:dyDescent="0.25">
      <c r="A68">
        <v>2019</v>
      </c>
      <c r="B68" t="s">
        <v>69</v>
      </c>
      <c r="C68">
        <v>7440</v>
      </c>
    </row>
    <row r="69" spans="1:3" x14ac:dyDescent="0.25">
      <c r="A69">
        <v>2019</v>
      </c>
      <c r="B69" t="s">
        <v>92</v>
      </c>
      <c r="C69">
        <v>3330</v>
      </c>
    </row>
    <row r="70" spans="1:3" x14ac:dyDescent="0.25">
      <c r="A70">
        <v>2019</v>
      </c>
      <c r="B70" t="s">
        <v>44</v>
      </c>
      <c r="C70">
        <v>18400</v>
      </c>
    </row>
    <row r="71" spans="1:3" x14ac:dyDescent="0.25">
      <c r="A71">
        <v>2019</v>
      </c>
      <c r="B71" t="s">
        <v>42</v>
      </c>
      <c r="C71">
        <v>24060</v>
      </c>
    </row>
    <row r="72" spans="1:3" x14ac:dyDescent="0.25">
      <c r="A72">
        <v>2019</v>
      </c>
      <c r="B72" t="s">
        <v>45</v>
      </c>
      <c r="C72">
        <v>6980</v>
      </c>
    </row>
    <row r="73" spans="1:3" x14ac:dyDescent="0.25">
      <c r="A73">
        <v>2019</v>
      </c>
      <c r="B73" t="s">
        <v>93</v>
      </c>
      <c r="C73">
        <v>2590</v>
      </c>
    </row>
    <row r="74" spans="1:3" x14ac:dyDescent="0.25">
      <c r="A74">
        <v>2019</v>
      </c>
      <c r="B74" t="s">
        <v>43</v>
      </c>
      <c r="C74">
        <v>7510</v>
      </c>
    </row>
    <row r="75" spans="1:3" x14ac:dyDescent="0.25">
      <c r="A75">
        <v>2019</v>
      </c>
      <c r="B75" t="s">
        <v>49</v>
      </c>
      <c r="C75">
        <v>7880</v>
      </c>
    </row>
    <row r="76" spans="1:3" x14ac:dyDescent="0.25">
      <c r="A76">
        <v>2019</v>
      </c>
      <c r="B76" t="s">
        <v>94</v>
      </c>
      <c r="C76">
        <v>3860</v>
      </c>
    </row>
    <row r="77" spans="1:3" x14ac:dyDescent="0.25">
      <c r="A77">
        <v>2019</v>
      </c>
      <c r="B77" t="s">
        <v>95</v>
      </c>
      <c r="C77">
        <v>3040</v>
      </c>
    </row>
    <row r="78" spans="1:3" x14ac:dyDescent="0.25">
      <c r="A78">
        <v>2019</v>
      </c>
      <c r="B78" t="s">
        <v>50</v>
      </c>
      <c r="C78">
        <v>5990</v>
      </c>
    </row>
    <row r="79" spans="1:3" x14ac:dyDescent="0.25">
      <c r="A79">
        <v>2019</v>
      </c>
      <c r="B79" t="s">
        <v>48</v>
      </c>
      <c r="C79">
        <v>3440</v>
      </c>
    </row>
    <row r="80" spans="1:3" x14ac:dyDescent="0.25">
      <c r="A80">
        <v>2019</v>
      </c>
      <c r="B80" t="s">
        <v>46</v>
      </c>
      <c r="C80">
        <v>840</v>
      </c>
    </row>
    <row r="81" spans="1:3" x14ac:dyDescent="0.25">
      <c r="A81">
        <v>2019</v>
      </c>
      <c r="B81" t="s">
        <v>70</v>
      </c>
      <c r="C81">
        <v>1830</v>
      </c>
    </row>
    <row r="82" spans="1:3" x14ac:dyDescent="0.25">
      <c r="A82">
        <v>2020</v>
      </c>
      <c r="B82" t="s">
        <v>41</v>
      </c>
      <c r="C82">
        <v>59810</v>
      </c>
    </row>
    <row r="83" spans="1:3" x14ac:dyDescent="0.25">
      <c r="A83">
        <v>2020</v>
      </c>
      <c r="B83" t="s">
        <v>68</v>
      </c>
      <c r="C83">
        <v>-18590</v>
      </c>
    </row>
    <row r="84" spans="1:3" x14ac:dyDescent="0.25">
      <c r="A84">
        <v>2020</v>
      </c>
      <c r="B84" t="s">
        <v>69</v>
      </c>
      <c r="C84">
        <v>10670</v>
      </c>
    </row>
    <row r="85" spans="1:3" x14ac:dyDescent="0.25">
      <c r="A85">
        <v>2020</v>
      </c>
      <c r="B85" t="s">
        <v>92</v>
      </c>
      <c r="C85">
        <v>-360</v>
      </c>
    </row>
    <row r="86" spans="1:3" x14ac:dyDescent="0.25">
      <c r="A86">
        <v>2020</v>
      </c>
      <c r="B86" t="s">
        <v>44</v>
      </c>
      <c r="C86">
        <v>15350</v>
      </c>
    </row>
    <row r="87" spans="1:3" x14ac:dyDescent="0.25">
      <c r="A87">
        <v>2020</v>
      </c>
      <c r="B87" t="s">
        <v>42</v>
      </c>
      <c r="C87">
        <v>13340</v>
      </c>
    </row>
    <row r="88" spans="1:3" x14ac:dyDescent="0.25">
      <c r="A88">
        <v>2020</v>
      </c>
      <c r="B88" t="s">
        <v>45</v>
      </c>
      <c r="C88">
        <v>6960</v>
      </c>
    </row>
    <row r="89" spans="1:3" x14ac:dyDescent="0.25">
      <c r="A89">
        <v>2020</v>
      </c>
      <c r="B89" t="s">
        <v>93</v>
      </c>
      <c r="C89">
        <v>2660</v>
      </c>
    </row>
    <row r="90" spans="1:3" x14ac:dyDescent="0.25">
      <c r="A90">
        <v>2020</v>
      </c>
      <c r="B90" t="s">
        <v>43</v>
      </c>
      <c r="C90">
        <v>5600</v>
      </c>
    </row>
    <row r="91" spans="1:3" x14ac:dyDescent="0.25">
      <c r="A91">
        <v>2020</v>
      </c>
      <c r="B91" t="s">
        <v>49</v>
      </c>
      <c r="C91">
        <v>7470</v>
      </c>
    </row>
    <row r="92" spans="1:3" x14ac:dyDescent="0.25">
      <c r="A92">
        <v>2020</v>
      </c>
      <c r="B92" t="s">
        <v>94</v>
      </c>
      <c r="C92">
        <v>3550</v>
      </c>
    </row>
    <row r="93" spans="1:3" x14ac:dyDescent="0.25">
      <c r="A93">
        <v>2020</v>
      </c>
      <c r="B93" t="s">
        <v>95</v>
      </c>
      <c r="C93">
        <v>3070</v>
      </c>
    </row>
    <row r="94" spans="1:3" x14ac:dyDescent="0.25">
      <c r="A94">
        <v>2020</v>
      </c>
      <c r="B94" t="s">
        <v>50</v>
      </c>
      <c r="C94">
        <v>6380</v>
      </c>
    </row>
    <row r="95" spans="1:3" x14ac:dyDescent="0.25">
      <c r="A95">
        <v>2020</v>
      </c>
      <c r="B95" t="s">
        <v>48</v>
      </c>
      <c r="C95">
        <v>3020</v>
      </c>
    </row>
    <row r="96" spans="1:3" x14ac:dyDescent="0.25">
      <c r="A96">
        <v>2020</v>
      </c>
      <c r="B96" t="s">
        <v>46</v>
      </c>
      <c r="C96">
        <v>1260</v>
      </c>
    </row>
    <row r="97" spans="1:3" x14ac:dyDescent="0.25">
      <c r="A97">
        <v>2020</v>
      </c>
      <c r="B97" t="s">
        <v>70</v>
      </c>
      <c r="C97">
        <v>3050</v>
      </c>
    </row>
    <row r="98" spans="1:3" x14ac:dyDescent="0.25">
      <c r="A98">
        <v>2021</v>
      </c>
      <c r="B98" t="s">
        <v>41</v>
      </c>
      <c r="C98">
        <v>-10650</v>
      </c>
    </row>
    <row r="99" spans="1:3" x14ac:dyDescent="0.25">
      <c r="A99">
        <v>2021</v>
      </c>
      <c r="B99" t="s">
        <v>68</v>
      </c>
      <c r="C99">
        <v>-50270</v>
      </c>
    </row>
    <row r="100" spans="1:3" x14ac:dyDescent="0.25">
      <c r="A100">
        <v>2021</v>
      </c>
      <c r="B100" t="s">
        <v>69</v>
      </c>
      <c r="C100">
        <v>-960</v>
      </c>
    </row>
    <row r="101" spans="1:3" x14ac:dyDescent="0.25">
      <c r="A101">
        <v>2021</v>
      </c>
      <c r="B101" t="s">
        <v>92</v>
      </c>
      <c r="C101">
        <v>-2150</v>
      </c>
    </row>
    <row r="102" spans="1:3" x14ac:dyDescent="0.25">
      <c r="A102">
        <v>2021</v>
      </c>
      <c r="B102" t="s">
        <v>44</v>
      </c>
      <c r="C102">
        <v>1080</v>
      </c>
    </row>
    <row r="103" spans="1:3" x14ac:dyDescent="0.25">
      <c r="A103">
        <v>2021</v>
      </c>
      <c r="B103" t="s">
        <v>42</v>
      </c>
      <c r="C103">
        <v>-2090</v>
      </c>
    </row>
    <row r="104" spans="1:3" x14ac:dyDescent="0.25">
      <c r="A104">
        <v>2021</v>
      </c>
      <c r="B104" t="s">
        <v>45</v>
      </c>
      <c r="C104">
        <v>-830</v>
      </c>
    </row>
    <row r="105" spans="1:3" x14ac:dyDescent="0.25">
      <c r="A105">
        <v>2021</v>
      </c>
      <c r="B105" t="s">
        <v>93</v>
      </c>
      <c r="C105">
        <v>-560</v>
      </c>
    </row>
    <row r="106" spans="1:3" x14ac:dyDescent="0.25">
      <c r="A106">
        <v>2021</v>
      </c>
      <c r="B106" t="s">
        <v>43</v>
      </c>
      <c r="C106">
        <v>-730</v>
      </c>
    </row>
    <row r="107" spans="1:3" x14ac:dyDescent="0.25">
      <c r="A107">
        <v>2021</v>
      </c>
      <c r="B107" t="s">
        <v>49</v>
      </c>
      <c r="C107">
        <v>-1420</v>
      </c>
    </row>
    <row r="108" spans="1:3" x14ac:dyDescent="0.25">
      <c r="A108">
        <v>2021</v>
      </c>
      <c r="B108" t="s">
        <v>94</v>
      </c>
      <c r="C108">
        <v>-2510</v>
      </c>
    </row>
    <row r="109" spans="1:3" x14ac:dyDescent="0.25">
      <c r="A109">
        <v>2021</v>
      </c>
      <c r="B109" t="s">
        <v>95</v>
      </c>
      <c r="C109">
        <v>1460</v>
      </c>
    </row>
    <row r="110" spans="1:3" x14ac:dyDescent="0.25">
      <c r="A110">
        <v>2021</v>
      </c>
      <c r="B110" t="s">
        <v>50</v>
      </c>
      <c r="C110">
        <v>2560</v>
      </c>
    </row>
    <row r="111" spans="1:3" x14ac:dyDescent="0.25">
      <c r="A111">
        <v>2021</v>
      </c>
      <c r="B111" t="s">
        <v>48</v>
      </c>
      <c r="C111">
        <v>590</v>
      </c>
    </row>
    <row r="112" spans="1:3" x14ac:dyDescent="0.25">
      <c r="A112">
        <v>2021</v>
      </c>
      <c r="B112" t="s">
        <v>46</v>
      </c>
      <c r="C112">
        <v>-1200</v>
      </c>
    </row>
    <row r="113" spans="1:3" x14ac:dyDescent="0.25">
      <c r="A113">
        <v>2021</v>
      </c>
      <c r="B113" t="s">
        <v>70</v>
      </c>
      <c r="C113">
        <v>810</v>
      </c>
    </row>
    <row r="114" spans="1:3" x14ac:dyDescent="0.25">
      <c r="A114">
        <v>2022</v>
      </c>
      <c r="B114" t="s">
        <v>41</v>
      </c>
      <c r="C114">
        <v>43570</v>
      </c>
    </row>
    <row r="115" spans="1:3" x14ac:dyDescent="0.25">
      <c r="A115">
        <v>2022</v>
      </c>
      <c r="B115" t="s">
        <v>68</v>
      </c>
      <c r="C115">
        <v>15100</v>
      </c>
    </row>
    <row r="116" spans="1:3" x14ac:dyDescent="0.25">
      <c r="A116">
        <v>2022</v>
      </c>
      <c r="B116" t="s">
        <v>69</v>
      </c>
      <c r="C116">
        <v>2760</v>
      </c>
    </row>
    <row r="117" spans="1:3" x14ac:dyDescent="0.25">
      <c r="A117">
        <v>2022</v>
      </c>
      <c r="B117" t="s">
        <v>92</v>
      </c>
      <c r="C117">
        <v>5370</v>
      </c>
    </row>
    <row r="118" spans="1:3" x14ac:dyDescent="0.25">
      <c r="A118">
        <v>2022</v>
      </c>
      <c r="B118" t="s">
        <v>44</v>
      </c>
      <c r="C118">
        <v>12930</v>
      </c>
    </row>
    <row r="119" spans="1:3" x14ac:dyDescent="0.25">
      <c r="A119">
        <v>2022</v>
      </c>
      <c r="B119" t="s">
        <v>42</v>
      </c>
      <c r="C119">
        <v>21020</v>
      </c>
    </row>
    <row r="120" spans="1:3" x14ac:dyDescent="0.25">
      <c r="A120">
        <v>2022</v>
      </c>
      <c r="B120" t="s">
        <v>45</v>
      </c>
      <c r="C120">
        <v>6000</v>
      </c>
    </row>
    <row r="121" spans="1:3" x14ac:dyDescent="0.25">
      <c r="A121">
        <v>2022</v>
      </c>
      <c r="B121" t="s">
        <v>93</v>
      </c>
      <c r="C121">
        <v>2800</v>
      </c>
    </row>
    <row r="122" spans="1:3" x14ac:dyDescent="0.25">
      <c r="A122">
        <v>2022</v>
      </c>
      <c r="B122" t="s">
        <v>43</v>
      </c>
      <c r="C122">
        <v>7180</v>
      </c>
    </row>
    <row r="123" spans="1:3" x14ac:dyDescent="0.25">
      <c r="A123">
        <v>2022</v>
      </c>
      <c r="B123" t="s">
        <v>49</v>
      </c>
      <c r="C123">
        <v>8310</v>
      </c>
    </row>
    <row r="124" spans="1:3" x14ac:dyDescent="0.25">
      <c r="A124">
        <v>2022</v>
      </c>
      <c r="B124" t="s">
        <v>94</v>
      </c>
      <c r="C124">
        <v>4520</v>
      </c>
    </row>
    <row r="125" spans="1:3" x14ac:dyDescent="0.25">
      <c r="A125">
        <v>2022</v>
      </c>
      <c r="B125" t="s">
        <v>95</v>
      </c>
      <c r="C125">
        <v>7280</v>
      </c>
    </row>
    <row r="126" spans="1:3" x14ac:dyDescent="0.25">
      <c r="A126">
        <v>2022</v>
      </c>
      <c r="B126" t="s">
        <v>50</v>
      </c>
      <c r="C126">
        <v>4980</v>
      </c>
    </row>
    <row r="127" spans="1:3" x14ac:dyDescent="0.25">
      <c r="A127">
        <v>2022</v>
      </c>
      <c r="B127" t="s">
        <v>48</v>
      </c>
      <c r="C127">
        <v>3490</v>
      </c>
    </row>
    <row r="128" spans="1:3" x14ac:dyDescent="0.25">
      <c r="A128">
        <v>2022</v>
      </c>
      <c r="B128" t="s">
        <v>46</v>
      </c>
      <c r="C128">
        <v>-110</v>
      </c>
    </row>
    <row r="129" spans="1:3" x14ac:dyDescent="0.25">
      <c r="A129">
        <v>2022</v>
      </c>
      <c r="B129" t="s">
        <v>70</v>
      </c>
      <c r="C129">
        <v>8470</v>
      </c>
    </row>
    <row r="130" spans="1:3" x14ac:dyDescent="0.25">
      <c r="A130">
        <v>2023</v>
      </c>
      <c r="B130" t="s">
        <v>41</v>
      </c>
      <c r="C130">
        <v>95030</v>
      </c>
    </row>
    <row r="131" spans="1:3" x14ac:dyDescent="0.25">
      <c r="A131">
        <v>2023</v>
      </c>
      <c r="B131" t="s">
        <v>68</v>
      </c>
      <c r="C131">
        <v>59570</v>
      </c>
    </row>
    <row r="132" spans="1:3" x14ac:dyDescent="0.25">
      <c r="A132">
        <v>2023</v>
      </c>
      <c r="B132" t="s">
        <v>69</v>
      </c>
      <c r="C132">
        <v>19550</v>
      </c>
    </row>
    <row r="133" spans="1:3" x14ac:dyDescent="0.25">
      <c r="A133">
        <v>2023</v>
      </c>
      <c r="B133" t="s">
        <v>92</v>
      </c>
      <c r="C133">
        <v>15950</v>
      </c>
    </row>
    <row r="134" spans="1:3" x14ac:dyDescent="0.25">
      <c r="A134">
        <v>2023</v>
      </c>
      <c r="B134" t="s">
        <v>44</v>
      </c>
      <c r="C134">
        <v>43330</v>
      </c>
    </row>
    <row r="135" spans="1:3" x14ac:dyDescent="0.25">
      <c r="A135">
        <v>2023</v>
      </c>
      <c r="B135" t="s">
        <v>42</v>
      </c>
      <c r="C135">
        <v>28020</v>
      </c>
    </row>
    <row r="136" spans="1:3" x14ac:dyDescent="0.25">
      <c r="A136">
        <v>2023</v>
      </c>
      <c r="B136" t="s">
        <v>45</v>
      </c>
      <c r="C136">
        <v>13990</v>
      </c>
    </row>
    <row r="137" spans="1:3" x14ac:dyDescent="0.25">
      <c r="A137">
        <v>2023</v>
      </c>
      <c r="B137" t="s">
        <v>93</v>
      </c>
      <c r="C137">
        <v>6400</v>
      </c>
    </row>
    <row r="138" spans="1:3" x14ac:dyDescent="0.25">
      <c r="A138">
        <v>2023</v>
      </c>
      <c r="B138" t="s">
        <v>43</v>
      </c>
      <c r="C138">
        <v>17640</v>
      </c>
    </row>
    <row r="139" spans="1:3" x14ac:dyDescent="0.25">
      <c r="A139">
        <v>2023</v>
      </c>
      <c r="B139" t="s">
        <v>49</v>
      </c>
      <c r="C139">
        <v>18800</v>
      </c>
    </row>
    <row r="140" spans="1:3" x14ac:dyDescent="0.25">
      <c r="A140">
        <v>2023</v>
      </c>
      <c r="B140" t="s">
        <v>94</v>
      </c>
      <c r="C140">
        <v>13090</v>
      </c>
    </row>
    <row r="141" spans="1:3" x14ac:dyDescent="0.25">
      <c r="A141">
        <v>2023</v>
      </c>
      <c r="B141" t="s">
        <v>95</v>
      </c>
      <c r="C141">
        <v>6700</v>
      </c>
    </row>
    <row r="142" spans="1:3" x14ac:dyDescent="0.25">
      <c r="A142">
        <v>2023</v>
      </c>
      <c r="B142" t="s">
        <v>50</v>
      </c>
      <c r="C142">
        <v>9170</v>
      </c>
    </row>
    <row r="143" spans="1:3" x14ac:dyDescent="0.25">
      <c r="A143">
        <v>2023</v>
      </c>
      <c r="B143" t="s">
        <v>48</v>
      </c>
      <c r="C143">
        <v>5810</v>
      </c>
    </row>
    <row r="144" spans="1:3" x14ac:dyDescent="0.25">
      <c r="A144">
        <v>2023</v>
      </c>
      <c r="B144" t="s">
        <v>46</v>
      </c>
      <c r="C144">
        <v>9630</v>
      </c>
    </row>
    <row r="145" spans="1:3" x14ac:dyDescent="0.25">
      <c r="A145">
        <v>2023</v>
      </c>
      <c r="B145" t="s">
        <v>70</v>
      </c>
      <c r="C145">
        <v>7910</v>
      </c>
    </row>
    <row r="146" spans="1:3" x14ac:dyDescent="0.25">
      <c r="A146">
        <v>2024</v>
      </c>
      <c r="B146" t="s">
        <v>41</v>
      </c>
      <c r="C146">
        <v>70130</v>
      </c>
    </row>
    <row r="147" spans="1:3" x14ac:dyDescent="0.25">
      <c r="A147">
        <v>2024</v>
      </c>
      <c r="B147" t="s">
        <v>68</v>
      </c>
      <c r="C147">
        <v>46580</v>
      </c>
    </row>
    <row r="148" spans="1:3" x14ac:dyDescent="0.25">
      <c r="A148">
        <v>2024</v>
      </c>
      <c r="B148" t="s">
        <v>69</v>
      </c>
      <c r="C148">
        <v>23550</v>
      </c>
    </row>
    <row r="149" spans="1:3" x14ac:dyDescent="0.25">
      <c r="A149">
        <v>2024</v>
      </c>
      <c r="B149" t="s">
        <v>92</v>
      </c>
      <c r="C149">
        <v>22910</v>
      </c>
    </row>
    <row r="150" spans="1:3" x14ac:dyDescent="0.25">
      <c r="A150">
        <v>2024</v>
      </c>
      <c r="B150" t="s">
        <v>44</v>
      </c>
      <c r="C150">
        <v>31670</v>
      </c>
    </row>
    <row r="151" spans="1:3" x14ac:dyDescent="0.25">
      <c r="A151">
        <v>2024</v>
      </c>
      <c r="B151" t="s">
        <v>42</v>
      </c>
      <c r="C151">
        <v>18160</v>
      </c>
    </row>
    <row r="152" spans="1:3" x14ac:dyDescent="0.25">
      <c r="A152">
        <v>2024</v>
      </c>
      <c r="B152" t="s">
        <v>45</v>
      </c>
      <c r="C152">
        <v>14760</v>
      </c>
    </row>
    <row r="153" spans="1:3" x14ac:dyDescent="0.25">
      <c r="A153">
        <v>2024</v>
      </c>
      <c r="B153" t="s">
        <v>93</v>
      </c>
      <c r="C153">
        <v>9750</v>
      </c>
    </row>
    <row r="154" spans="1:3" x14ac:dyDescent="0.25">
      <c r="A154">
        <v>2024</v>
      </c>
      <c r="B154" t="s">
        <v>43</v>
      </c>
      <c r="C154">
        <v>14250</v>
      </c>
    </row>
    <row r="155" spans="1:3" x14ac:dyDescent="0.25">
      <c r="A155">
        <v>2024</v>
      </c>
      <c r="B155" t="s">
        <v>49</v>
      </c>
      <c r="C155">
        <v>20350</v>
      </c>
    </row>
    <row r="156" spans="1:3" x14ac:dyDescent="0.25">
      <c r="A156">
        <v>2024</v>
      </c>
      <c r="B156" t="s">
        <v>94</v>
      </c>
      <c r="C156">
        <v>10860</v>
      </c>
    </row>
    <row r="157" spans="1:3" x14ac:dyDescent="0.25">
      <c r="A157">
        <v>2024</v>
      </c>
      <c r="B157" t="s">
        <v>95</v>
      </c>
      <c r="C157">
        <v>10360</v>
      </c>
    </row>
    <row r="158" spans="1:3" x14ac:dyDescent="0.25">
      <c r="A158">
        <v>2024</v>
      </c>
      <c r="B158" t="s">
        <v>50</v>
      </c>
      <c r="C158">
        <v>10130</v>
      </c>
    </row>
    <row r="159" spans="1:3" x14ac:dyDescent="0.25">
      <c r="A159">
        <v>2024</v>
      </c>
      <c r="B159" t="s">
        <v>48</v>
      </c>
      <c r="C159">
        <v>5930</v>
      </c>
    </row>
    <row r="160" spans="1:3" x14ac:dyDescent="0.25">
      <c r="A160">
        <v>2024</v>
      </c>
      <c r="B160" t="s">
        <v>46</v>
      </c>
      <c r="C160">
        <v>9110</v>
      </c>
    </row>
    <row r="161" spans="1:3" x14ac:dyDescent="0.25">
      <c r="A161">
        <v>2024</v>
      </c>
      <c r="B161" t="s">
        <v>70</v>
      </c>
      <c r="C161">
        <v>4980</v>
      </c>
    </row>
    <row r="162" spans="1:3" x14ac:dyDescent="0.25">
      <c r="A162">
        <v>2025</v>
      </c>
      <c r="B162" t="s">
        <v>41</v>
      </c>
      <c r="C162">
        <v>57410</v>
      </c>
    </row>
    <row r="163" spans="1:3" x14ac:dyDescent="0.25">
      <c r="A163">
        <v>2025</v>
      </c>
      <c r="B163" t="s">
        <v>68</v>
      </c>
      <c r="C163">
        <v>35160</v>
      </c>
    </row>
    <row r="164" spans="1:3" x14ac:dyDescent="0.25">
      <c r="A164">
        <v>2025</v>
      </c>
      <c r="B164" t="s">
        <v>69</v>
      </c>
      <c r="C164">
        <v>25620</v>
      </c>
    </row>
    <row r="165" spans="1:3" x14ac:dyDescent="0.25">
      <c r="A165">
        <v>2025</v>
      </c>
      <c r="B165" t="s">
        <v>92</v>
      </c>
      <c r="C165">
        <v>24320</v>
      </c>
    </row>
    <row r="166" spans="1:3" x14ac:dyDescent="0.25">
      <c r="A166">
        <v>2025</v>
      </c>
      <c r="B166" t="s">
        <v>44</v>
      </c>
      <c r="C166">
        <v>19440</v>
      </c>
    </row>
    <row r="167" spans="1:3" x14ac:dyDescent="0.25">
      <c r="A167">
        <v>2025</v>
      </c>
      <c r="B167" t="s">
        <v>42</v>
      </c>
      <c r="C167">
        <v>16310</v>
      </c>
    </row>
    <row r="168" spans="1:3" x14ac:dyDescent="0.25">
      <c r="A168">
        <v>2025</v>
      </c>
      <c r="B168" t="s">
        <v>45</v>
      </c>
      <c r="C168">
        <v>12430</v>
      </c>
    </row>
    <row r="169" spans="1:3" x14ac:dyDescent="0.25">
      <c r="A169">
        <v>2025</v>
      </c>
      <c r="B169" t="s">
        <v>93</v>
      </c>
      <c r="C169">
        <v>11280</v>
      </c>
    </row>
    <row r="170" spans="1:3" x14ac:dyDescent="0.25">
      <c r="A170">
        <v>2025</v>
      </c>
      <c r="B170" t="s">
        <v>43</v>
      </c>
      <c r="C170">
        <v>9390</v>
      </c>
    </row>
    <row r="171" spans="1:3" x14ac:dyDescent="0.25">
      <c r="A171">
        <v>2025</v>
      </c>
      <c r="B171" t="s">
        <v>49</v>
      </c>
      <c r="C171">
        <v>9250</v>
      </c>
    </row>
    <row r="172" spans="1:3" x14ac:dyDescent="0.25">
      <c r="A172">
        <v>2025</v>
      </c>
      <c r="B172" t="s">
        <v>94</v>
      </c>
      <c r="C172">
        <v>8490</v>
      </c>
    </row>
    <row r="173" spans="1:3" x14ac:dyDescent="0.25">
      <c r="A173">
        <v>2025</v>
      </c>
      <c r="B173" t="s">
        <v>95</v>
      </c>
      <c r="C173">
        <v>8490</v>
      </c>
    </row>
    <row r="174" spans="1:3" x14ac:dyDescent="0.25">
      <c r="A174">
        <v>2025</v>
      </c>
      <c r="B174" t="s">
        <v>50</v>
      </c>
      <c r="C174">
        <v>6590</v>
      </c>
    </row>
    <row r="175" spans="1:3" x14ac:dyDescent="0.25">
      <c r="A175">
        <v>2025</v>
      </c>
      <c r="B175" t="s">
        <v>48</v>
      </c>
      <c r="C175">
        <v>4190</v>
      </c>
    </row>
    <row r="176" spans="1:3" x14ac:dyDescent="0.25">
      <c r="A176">
        <v>2025</v>
      </c>
      <c r="B176" t="s">
        <v>46</v>
      </c>
      <c r="C176">
        <v>3480</v>
      </c>
    </row>
    <row r="177" spans="1:3" x14ac:dyDescent="0.25">
      <c r="A177">
        <v>2025</v>
      </c>
      <c r="B177" t="s">
        <v>70</v>
      </c>
      <c r="C177">
        <v>3460</v>
      </c>
    </row>
  </sheetData>
  <sortState xmlns:xlrd2="http://schemas.microsoft.com/office/spreadsheetml/2017/richdata2" ref="A2:C177">
    <sortCondition ref="A2:A177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3F4F-F020-4F9F-9BF7-85BA2F9924A6}">
  <dimension ref="A1:B18"/>
  <sheetViews>
    <sheetView workbookViewId="0">
      <selection activeCell="D11" sqref="D11"/>
    </sheetView>
  </sheetViews>
  <sheetFormatPr defaultRowHeight="15" x14ac:dyDescent="0.25"/>
  <cols>
    <col min="2" max="2" width="26.28515625" bestFit="1" customWidth="1"/>
  </cols>
  <sheetData>
    <row r="1" spans="1:2" x14ac:dyDescent="0.25">
      <c r="A1" t="s">
        <v>53</v>
      </c>
      <c r="B1" t="s">
        <v>54</v>
      </c>
    </row>
    <row r="2" spans="1:2" x14ac:dyDescent="0.25">
      <c r="A2" t="s">
        <v>41</v>
      </c>
      <c r="B2">
        <v>5058</v>
      </c>
    </row>
    <row r="3" spans="1:2" x14ac:dyDescent="0.25">
      <c r="A3" t="s">
        <v>68</v>
      </c>
      <c r="B3">
        <v>2488</v>
      </c>
    </row>
    <row r="4" spans="1:2" x14ac:dyDescent="0.25">
      <c r="A4" t="s">
        <v>69</v>
      </c>
      <c r="B4">
        <v>1084</v>
      </c>
    </row>
    <row r="5" spans="1:2" x14ac:dyDescent="0.25">
      <c r="A5" t="s">
        <v>42</v>
      </c>
      <c r="B5">
        <v>999</v>
      </c>
    </row>
    <row r="6" spans="1:2" x14ac:dyDescent="0.25">
      <c r="A6" t="s">
        <v>43</v>
      </c>
      <c r="B6">
        <v>757</v>
      </c>
    </row>
    <row r="7" spans="1:2" x14ac:dyDescent="0.25">
      <c r="A7" t="s">
        <v>44</v>
      </c>
      <c r="B7">
        <v>673</v>
      </c>
    </row>
    <row r="8" spans="1:2" x14ac:dyDescent="0.25">
      <c r="A8" t="s">
        <v>45</v>
      </c>
      <c r="B8">
        <v>501</v>
      </c>
    </row>
    <row r="9" spans="1:2" x14ac:dyDescent="0.25">
      <c r="A9" t="s">
        <v>70</v>
      </c>
      <c r="B9">
        <v>478</v>
      </c>
    </row>
    <row r="10" spans="1:2" x14ac:dyDescent="0.25">
      <c r="A10" t="s">
        <v>46</v>
      </c>
      <c r="B10">
        <v>412</v>
      </c>
    </row>
    <row r="11" spans="1:2" x14ac:dyDescent="0.25">
      <c r="A11" t="s">
        <v>47</v>
      </c>
      <c r="B11">
        <v>386</v>
      </c>
    </row>
    <row r="12" spans="1:2" x14ac:dyDescent="0.25">
      <c r="A12" t="s">
        <v>48</v>
      </c>
      <c r="B12">
        <v>352</v>
      </c>
    </row>
    <row r="13" spans="1:2" x14ac:dyDescent="0.25">
      <c r="A13" t="s">
        <v>49</v>
      </c>
      <c r="B13">
        <v>330</v>
      </c>
    </row>
    <row r="14" spans="1:2" x14ac:dyDescent="0.25">
      <c r="A14" t="s">
        <v>50</v>
      </c>
      <c r="B14">
        <v>326</v>
      </c>
    </row>
    <row r="15" spans="1:2" x14ac:dyDescent="0.25">
      <c r="A15" t="s">
        <v>51</v>
      </c>
      <c r="B15">
        <v>280</v>
      </c>
    </row>
    <row r="16" spans="1:2" x14ac:dyDescent="0.25">
      <c r="A16" t="s">
        <v>52</v>
      </c>
      <c r="B16">
        <v>266</v>
      </c>
    </row>
    <row r="17" spans="1:2" x14ac:dyDescent="0.25">
      <c r="A17" t="s">
        <v>55</v>
      </c>
      <c r="B17">
        <v>2510</v>
      </c>
    </row>
    <row r="18" spans="1:2" x14ac:dyDescent="0.25">
      <c r="A18" t="s">
        <v>37</v>
      </c>
      <c r="B18">
        <v>16900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C9E3-D3CE-4AFE-94D0-85B3F82C7F84}">
  <dimension ref="A1:B9"/>
  <sheetViews>
    <sheetView workbookViewId="0">
      <selection activeCell="F10" sqref="F10"/>
    </sheetView>
  </sheetViews>
  <sheetFormatPr defaultRowHeight="15" x14ac:dyDescent="0.25"/>
  <cols>
    <col min="1" max="1" width="31.28515625" bestFit="1" customWidth="1"/>
    <col min="2" max="2" width="11.85546875" customWidth="1"/>
  </cols>
  <sheetData>
    <row r="1" spans="1:2" x14ac:dyDescent="0.25">
      <c r="A1" t="s">
        <v>56</v>
      </c>
      <c r="B1" t="s">
        <v>16</v>
      </c>
    </row>
    <row r="2" spans="1:2" x14ac:dyDescent="0.25">
      <c r="A2" t="s">
        <v>57</v>
      </c>
      <c r="B2">
        <v>44000</v>
      </c>
    </row>
    <row r="3" spans="1:2" x14ac:dyDescent="0.25">
      <c r="A3" t="s">
        <v>58</v>
      </c>
      <c r="B3">
        <v>33000</v>
      </c>
    </row>
    <row r="4" spans="1:2" x14ac:dyDescent="0.25">
      <c r="A4" t="s">
        <v>59</v>
      </c>
      <c r="B4">
        <v>32948</v>
      </c>
    </row>
    <row r="5" spans="1:2" x14ac:dyDescent="0.25">
      <c r="A5" t="s">
        <v>60</v>
      </c>
      <c r="B5">
        <v>16900</v>
      </c>
    </row>
    <row r="6" spans="1:2" x14ac:dyDescent="0.25">
      <c r="A6" t="s">
        <v>61</v>
      </c>
      <c r="B6">
        <v>3975</v>
      </c>
    </row>
    <row r="7" spans="1:2" x14ac:dyDescent="0.25">
      <c r="A7" t="s">
        <v>62</v>
      </c>
      <c r="B7">
        <v>1000</v>
      </c>
    </row>
    <row r="8" spans="1:2" x14ac:dyDescent="0.25">
      <c r="A8" t="s">
        <v>63</v>
      </c>
      <c r="B8">
        <v>300</v>
      </c>
    </row>
    <row r="9" spans="1:2" x14ac:dyDescent="0.25">
      <c r="A9" t="s">
        <v>64</v>
      </c>
      <c r="B9">
        <v>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9309-1475-4EA1-AA6D-A72430AE0AF0}">
  <dimension ref="B1:E9"/>
  <sheetViews>
    <sheetView topLeftCell="B1" workbookViewId="0">
      <selection activeCell="B1" sqref="B1"/>
    </sheetView>
  </sheetViews>
  <sheetFormatPr defaultRowHeight="15" x14ac:dyDescent="0.25"/>
  <cols>
    <col min="2" max="2" width="31.28515625" bestFit="1" customWidth="1"/>
  </cols>
  <sheetData>
    <row r="1" spans="2:5" x14ac:dyDescent="0.25">
      <c r="B1" t="s">
        <v>56</v>
      </c>
      <c r="C1">
        <v>2015</v>
      </c>
      <c r="D1">
        <v>2025</v>
      </c>
      <c r="E1" t="s">
        <v>71</v>
      </c>
    </row>
    <row r="2" spans="2:5" x14ac:dyDescent="0.25">
      <c r="B2" t="s">
        <v>59</v>
      </c>
      <c r="C2">
        <v>4196</v>
      </c>
      <c r="D2">
        <v>32948</v>
      </c>
      <c r="E2">
        <v>28752</v>
      </c>
    </row>
    <row r="3" spans="2:5" x14ac:dyDescent="0.25">
      <c r="B3" t="s">
        <v>58</v>
      </c>
      <c r="C3">
        <v>24650</v>
      </c>
      <c r="D3">
        <v>33000</v>
      </c>
      <c r="E3">
        <v>8350</v>
      </c>
    </row>
    <row r="4" spans="2:5" x14ac:dyDescent="0.25">
      <c r="B4" t="s">
        <v>61</v>
      </c>
      <c r="C4">
        <v>0</v>
      </c>
      <c r="D4">
        <v>3975</v>
      </c>
      <c r="E4">
        <v>3975</v>
      </c>
    </row>
    <row r="5" spans="2:5" x14ac:dyDescent="0.25">
      <c r="B5" t="s">
        <v>63</v>
      </c>
      <c r="C5">
        <v>200</v>
      </c>
      <c r="D5">
        <v>300</v>
      </c>
      <c r="E5">
        <v>100</v>
      </c>
    </row>
    <row r="6" spans="2:5" x14ac:dyDescent="0.25">
      <c r="B6" t="s">
        <v>64</v>
      </c>
      <c r="C6">
        <v>0</v>
      </c>
      <c r="D6">
        <v>25</v>
      </c>
      <c r="E6">
        <v>25</v>
      </c>
    </row>
    <row r="7" spans="2:5" x14ac:dyDescent="0.25">
      <c r="B7" t="s">
        <v>57</v>
      </c>
      <c r="C7">
        <v>48250</v>
      </c>
      <c r="D7">
        <v>44000</v>
      </c>
      <c r="E7">
        <v>-4250</v>
      </c>
    </row>
    <row r="8" spans="2:5" x14ac:dyDescent="0.25">
      <c r="B8" t="s">
        <v>62</v>
      </c>
      <c r="C8">
        <v>7260</v>
      </c>
      <c r="D8">
        <v>1000</v>
      </c>
      <c r="E8">
        <v>-6260</v>
      </c>
    </row>
    <row r="9" spans="2:5" x14ac:dyDescent="0.25">
      <c r="B9" t="s">
        <v>60</v>
      </c>
      <c r="C9">
        <v>43994</v>
      </c>
      <c r="D9">
        <v>16900</v>
      </c>
      <c r="E9">
        <v>-27094</v>
      </c>
    </row>
  </sheetData>
  <sortState xmlns:xlrd2="http://schemas.microsoft.com/office/spreadsheetml/2017/richdata2" ref="B2:E9">
    <sortCondition descending="1" ref="E5:E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7BF641-9381-4BD1-A8E3-D5076811E5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StatePopulation</vt:lpstr>
      <vt:lpstr>StateGrowthAlllYears</vt:lpstr>
      <vt:lpstr>StateGrowth2015-2025</vt:lpstr>
      <vt:lpstr>StateGrowthChloropleth</vt:lpstr>
      <vt:lpstr>connected_scatterplot</vt:lpstr>
      <vt:lpstr>StateGrowthHeatMap</vt:lpstr>
      <vt:lpstr>NetOverseasMigration</vt:lpstr>
      <vt:lpstr>AustraliaTotalPopulation</vt:lpstr>
      <vt:lpstr>MajorCityPopulation</vt:lpstr>
      <vt:lpstr>MigrationAge</vt:lpstr>
      <vt:lpstr>steamgraph_population_growth</vt:lpstr>
      <vt:lpstr>source_country_migration</vt:lpstr>
      <vt:lpstr>TopSourceCountries</vt:lpstr>
      <vt:lpstr>VisaCategories</vt:lpstr>
      <vt:lpstr>LollipopChart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Shaik</dc:creator>
  <cp:lastModifiedBy>Sahil Shaik</cp:lastModifiedBy>
  <dcterms:created xsi:type="dcterms:W3CDTF">2026-05-26T10:47:28Z</dcterms:created>
  <dcterms:modified xsi:type="dcterms:W3CDTF">2026-05-30T06:54:36Z</dcterms:modified>
</cp:coreProperties>
</file>